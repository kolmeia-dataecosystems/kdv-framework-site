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a1db63e43c47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ções" sheetId="1" r:id="R81c3586623e044eb"/>
    <x:sheet xmlns:r="http://schemas.openxmlformats.org/officeDocument/2006/relationships" name="Evidências" sheetId="2" r:id="Ref6f7c64f534446f"/>
    <x:sheet xmlns:r="http://schemas.openxmlformats.org/officeDocument/2006/relationships" name="Indicadores" sheetId="3" r:id="Rdc14d1cbdd174e63"/>
    <x:sheet xmlns:r="http://schemas.openxmlformats.org/officeDocument/2006/relationships" name="Listas" sheetId="4" r:id="R973738c081814f80"/>
  </x:sheets>
</x:workbook>
</file>

<file path=xl/comments1.xml><?xml version="1.0" encoding="utf-8"?>
<x:comments xmlns:x="http://schemas.openxmlformats.org/spreadsheetml/2006/main">
  <x:authors>
    <x:author>KDV Framework</x:author>
  </x:authors>
  <x:commentList>
    <x:comment ref="A1" authorId="0">
      <x:text>
        <x:r>
          <x:t>Ex.: todo produto compartilhado tem contrato versionado.</x:t>
        </x:r>
      </x:text>
    </x:comment>
    <x:comment ref="E1" authorId="0">
      <x:text>
        <x:r>
          <x:t>Como a regra é aplicada.</x:t>
        </x:r>
      </x:text>
    </x:comment>
    <x:comment ref="G1" authorId="0">
      <x:text>
        <x:r>
          <x:t>Contrato, resultado de teste, decisão, registro de acesso.</x:t>
        </x:r>
      </x:text>
    </x:comment>
    <x:comment ref="J1" authorId="0">
      <x:text>
        <x:r>
          <x:t>Veja a aba Indicadores.</x:t>
        </x:r>
      </x:text>
    </x:comment>
    <x:comment ref="K1" authorId="0">
      <x:text>
        <x:r>
          <x:t>Digite 0,95 para 95%.</x:t>
        </x:r>
      </x:text>
    </x:comment>
    <x:comment ref="M1" authorId="0">
      <x:text>
        <x:r>
          <x:t>Calculada a partir de meta e valor; "Sem evidência" se o valor estiver vazio.</x:t>
        </x:r>
      </x:text>
    </x:comment>
  </x:commentList>
</x:comments>
</file>

<file path=xl/comments2.xml><?xml version="1.0" encoding="utf-8"?>
<x:comments xmlns:x="http://schemas.openxmlformats.org/spreadsheetml/2006/main">
  <x:authors>
    <x:author>KDV Framework</x:author>
  </x:authors>
  <x:commentList>
    <x:comment ref="C1" authorId="0">
      <x:text>
        <x:r>
          <x:t>Defina população, período e significado.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"/>
    <x:numFmt numFmtId="165" formatCode="DD/MM/YYYY"/>
    <x:numFmt numFmtId="200" formatCode="General"/>
  </x:numFmts>
  <x:fonts count="10">
    <x:font>
      <x:sz val="11"/>
      <x:color theme="1"/>
      <x:name val="Calibri"/>
      <x:family val="2"/>
      <x:scheme val="minor"/>
    </x:font>
    <x:font>
      <x:b/>
      <x:sz val="10"/>
      <x:color rgb="FFB45309"/>
      <x:name val="Arial"/>
    </x:font>
    <x:font>
      <x:b/>
      <x:sz val="18"/>
      <x:color rgb="FF1F2937"/>
      <x:name val="Arial"/>
    </x:font>
    <x:font>
      <x:sz val="11"/>
      <x:color rgb="FF6B7280"/>
      <x:name val="Arial"/>
    </x:font>
    <x:font>
      <x:b/>
      <x:name val="Arial"/>
    </x:font>
    <x:font>
      <x:name val="Arial"/>
    </x:font>
    <x:font>
      <x:b/>
      <x:color rgb="FFB45309"/>
      <x:name val="Arial"/>
    </x:font>
    <x:font>
      <x:i/>
      <x:color rgb="FF6B7280"/>
      <x:name val="Arial"/>
    </x:font>
    <x:font>
      <x:sz val="9"/>
      <x:color rgb="FF6B7280"/>
      <x:name val="Arial"/>
    </x:font>
    <x:font>
      <x:color rgb="FF11182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BEB"/>
      </x:patternFill>
    </x:fill>
    <x:fill>
      <x:patternFill patternType="solid">
        <x:fgColor rgb="FFF3F4F6"/>
      </x:patternFill>
    </x:fill>
    <x:fill>
      <x:patternFill patternType="solid">
        <x:fgColor rgb="FFE5E7EB"/>
      </x:patternFill>
    </x:fill>
    <x:fill>
      <x:patternFill patternType="solid">
        <x:fgColor rgb="FFFDE68A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/>
    <x:xf numFmtId="0" fontId="2" fillId="0" borderId="0" xfId="0"/>
    <x:xf numFmtId="0" fontId="3" fillId="0" borderId="0" xfId="0"/>
    <x:xf numFmtId="0" fontId="4" fillId="0" borderId="0" xfId="0"/>
    <x:xf numFmtId="0" fontId="5" fillId="0" borderId="0" xfId="0" applyAlignment="1">
      <x:alignment vertical="top" wrapText="1"/>
    </x:xf>
    <x:xf numFmtId="0" fontId="6" fillId="0" borderId="0" xfId="0"/>
    <x:xf numFmtId="0" fontId="0" fillId="2" borderId="1" xfId="0"/>
    <x:xf numFmtId="0" fontId="5" fillId="0" borderId="0" xfId="0"/>
    <x:xf numFmtId="0" fontId="0" fillId="3" borderId="1" xfId="0"/>
    <x:xf numFmtId="0" fontId="0" fillId="4" borderId="1" xfId="0"/>
    <x:xf numFmtId="0" fontId="0" fillId="5" borderId="1" xfId="0"/>
    <x:xf numFmtId="0" fontId="7" fillId="0" borderId="0" xfId="0" applyAlignment="1">
      <x:alignment vertical="top" wrapText="1"/>
    </x:xf>
    <x:xf numFmtId="0" fontId="8" fillId="0" borderId="0" xfId="0" applyAlignment="1">
      <x:alignment vertical="top" wrapText="1"/>
    </x:xf>
    <x:xf numFmtId="0" fontId="4" fillId="5" borderId="1" xfId="0" applyAlignment="1">
      <x:alignment vertical="center" wrapText="1"/>
    </x:xf>
    <x:xf numFmtId="0" fontId="7" fillId="3" borderId="1" xfId="0" applyAlignment="1">
      <x:alignment vertical="top" wrapText="1"/>
    </x:xf>
    <x:xf numFmtId="165" fontId="7" fillId="3" borderId="1" xfId="0" applyAlignment="1">
      <x:alignment vertical="top" wrapText="1"/>
    </x:xf>
    <x:xf numFmtId="9" fontId="7" fillId="3" borderId="1" xfId="0" applyAlignment="1">
      <x:alignment vertical="top" wrapText="1"/>
    </x:xf>
    <x:xf numFmtId="1" fontId="7" fillId="6" borderId="1" xfId="0" applyAlignment="1">
      <x:alignment vertical="top" wrapText="1"/>
    </x:xf>
    <x:xf numFmtId="0" fontId="9" fillId="2" borderId="1" xfId="0" applyAlignment="1">
      <x:alignment vertical="top" wrapText="1"/>
    </x:xf>
    <x:xf numFmtId="165" fontId="9" fillId="2" borderId="1" xfId="0" applyAlignment="1">
      <x:alignment vertical="top" wrapText="1"/>
    </x:xf>
    <x:xf numFmtId="9" fontId="9" fillId="2" borderId="1" xfId="0" applyAlignment="1">
      <x:alignment vertical="top" wrapText="1"/>
    </x:xf>
    <x:xf numFmtId="1" fontId="9" fillId="6" borderId="1" xfId="0" applyAlignment="1">
      <x:alignment vertical="top" wrapText="1"/>
    </x:xf>
    <x:xf numFmtId="0" fontId="9" fillId="4" borderId="1" xfId="0" applyAlignment="1">
      <x:alignment vertical="top" wrapText="1"/>
    </x:xf>
    <x:xf numFmtId="0" fontId="4" fillId="5" borderId="0" xfId="0"/>
    <x:xf numFmtId="200" fontId="9" fillId="2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be2432acdd4cde" /><Relationship Type="http://schemas.openxmlformats.org/officeDocument/2006/relationships/theme" Target="/xl/theme/theme1.xml" Id="R8b3aea6592364da8" /><Relationship Type="http://schemas.openxmlformats.org/officeDocument/2006/relationships/sharedStrings" Target="/xl/sharedStrings.xml" Id="R0d58293752844072" /><Relationship Type="http://schemas.openxmlformats.org/officeDocument/2006/relationships/worksheet" Target="/xl/worksheets/sheet1.xml" Id="R81c3586623e044eb" /><Relationship Type="http://schemas.openxmlformats.org/officeDocument/2006/relationships/worksheet" Target="/xl/worksheets/sheet2.xml" Id="Ref6f7c64f534446f" /><Relationship Type="http://schemas.openxmlformats.org/officeDocument/2006/relationships/worksheet" Target="/xl/worksheets/sheet3.xml" Id="Rdc14d1cbdd174e63" /><Relationship Type="http://schemas.openxmlformats.org/officeDocument/2006/relationships/worksheet" Target="/xl/worksheets/sheet4.xml" Id="R973738c081814f80" /><Relationship Type="http://schemas.microsoft.com/office/2017/10/relationships/person" Target="/xl/persons/person.xml" Id="R0969a0629c6f44c9" /></Relationships>
</file>

<file path=xl/persons/person.xml><?xml version="1.0" encoding="utf-8"?>
<xltc:personList xmlns:xltc="http://schemas.microsoft.com/office/spreadsheetml/2018/threadedcomments">
  <xltc:person displayName="KDV Framework" id="{B402E73B-3B69-425A-8A48-D5F119508520}"/>
  <xltc:person displayName="KDV Framework" id="{D844A21C-D4F3-FD4F-311F-2F06EACA8F3D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358d6333af4443a5" /><Relationship Type="http://schemas.openxmlformats.org/officeDocument/2006/relationships/vmlDrawing" Target="/xl/drawings/vmldrawing.vml" Id="Rbb1b4ed0522a42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876b754d34724639" /><Relationship Type="http://schemas.openxmlformats.org/officeDocument/2006/relationships/vmlDrawing" Target="/xl/drawings/vmldrawing2.vml" Id="R57250c7db0d647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6" customWidth="1"/>
    <x:col min="2" max="2" width="95" customWidth="1"/>
  </x:cols>
  <x:sheetData>
    <x:row r="1">
      <x:c r="A1" s="1" t="inlineStr">
        <x:is>
          <x:t xml:space="preserve">KDV FRAMEWORK · MODELO DE TRABALHO</x:t>
        </x:is>
      </x:c>
    </x:row>
    <x:row r="2">
      <x:c r="A2" s="2" t="inlineStr">
        <x:is>
          <x:t xml:space="preserve">Registro de evidências</x:t>
        </x:is>
      </x:c>
    </x:row>
    <x:row r="3">
      <x:c r="A3" s="3" t="inlineStr">
        <x:is>
          <x:t xml:space="preserve">Conecte cada prática a um responsável, controle, artefato e revisão.</x:t>
        </x:is>
      </x:c>
    </x:row>
    <x:row r="5">
      <x:c r="A5" s="4" t="inlineStr">
        <x:is>
          <x:t xml:space="preserve">Etapa da jornada</x:t>
        </x:is>
      </x:c>
      <x:c r="B5" s="5" t="inlineStr">
        <x:is>
          <x:t xml:space="preserve">Todas as etapas</x:t>
        </x:is>
      </x:c>
    </x:row>
    <x:row r="6">
      <x:c r="A6" s="4" t="inlineStr">
        <x:is>
          <x:t xml:space="preserve">Camada</x:t>
        </x:is>
      </x:c>
      <x:c r="B6" s="5" t="inlineStr">
        <x:is>
          <x:t xml:space="preserve">05 Evidências e melhoria</x:t>
        </x:is>
      </x:c>
    </x:row>
    <x:row r="7">
      <x:c r="A7" s="4" t="inlineStr">
        <x:is>
          <x:t xml:space="preserve">Quem preenche</x:t>
        </x:is>
      </x:c>
      <x:c r="B7" s="5" t="inlineStr">
        <x:is>
          <x:t xml:space="preserve">Gestor do ecossistema ou steward coordenador</x:t>
        </x:is>
      </x:c>
    </x:row>
    <x:row r="8">
      <x:c r="A8" s="4" t="inlineStr">
        <x:is>
          <x:t xml:space="preserve">Quando usar</x:t>
        </x:is>
      </x:c>
      <x:c r="B8" s="5" t="inlineStr">
        <x:is>
          <x:t xml:space="preserve">A cada publicação e nas revisões semanal e mensal</x:t>
        </x:is>
      </x:c>
    </x:row>
    <x:row r="9">
      <x:c r="A9" s="4" t="inlineStr">
        <x:is>
          <x:t xml:space="preserve">Abas desta planilha</x:t>
        </x:is>
      </x:c>
      <x:c r="B9" s="5" t="inlineStr">
        <x:is>
          <x:t xml:space="preserve">Evidências (uma linha por prática) · Indicadores</x:t>
        </x:is>
      </x:c>
    </x:row>
    <x:row r="10">
      <x:c r="A10" s="4" t="inlineStr">
        <x:is>
          <x:t xml:space="preserve">Modelos relacionados</x:t>
        </x:is>
      </x:c>
      <x:c r="B10" s="5" t="inlineStr">
        <x:is>
          <x:t xml:space="preserve">Registro de decisão de governança; Contrato de produto de dados</x:t>
        </x:is>
      </x:c>
    </x:row>
    <x:row r="12">
      <x:c r="A12" s="6" t="inlineStr">
        <x:is>
          <x:t xml:space="preserve">Legenda</x:t>
        </x:is>
      </x:c>
    </x:row>
    <x:row r="13">
      <x:c r="A13" s="7" t="n"/>
      <x:c r="B13" s="8" t="inlineStr">
        <x:is>
          <x:t xml:space="preserve">Célula para preencher</x:t>
        </x:is>
      </x:c>
    </x:row>
    <x:row r="14">
      <x:c r="A14" s="9" t="n"/>
      <x:c r="B14" s="8" t="inlineStr">
        <x:is>
          <x:t xml:space="preserve">Linha de EXEMPLO (dados fictícios) — substitua ou apague</x:t>
        </x:is>
      </x:c>
    </x:row>
    <x:row r="15">
      <x:c r="A15" s="10" t="n"/>
      <x:c r="B15" s="8" t="inlineStr">
        <x:is>
          <x:t xml:space="preserve">Texto sugerido pelo framework — pode ajustar</x:t>
        </x:is>
      </x:c>
    </x:row>
    <x:row r="16">
      <x:c r="A16" s="11" t="n"/>
      <x:c r="B16" s="8" t="inlineStr">
        <x:is>
          <x:t xml:space="preserve">Cabeçalho (passe o mouse para ver a orientação)</x:t>
        </x:is>
      </x:c>
    </x:row>
    <x:row r="18">
      <x:c r="A18" s="6" t="inlineStr">
        <x:is>
          <x:t xml:space="preserve">Orientações</x:t>
        </x:is>
      </x:c>
    </x:row>
    <x:row r="19">
      <x:c r="B19" s="5" t="inlineStr">
        <x:is>
          <x:t xml:space="preserve">• Um resultado de teste em falta é falta de evidência, não aprovação.</x:t>
        </x:is>
      </x:c>
    </x:row>
    <x:row r="20">
      <x:c r="B20" s="5" t="inlineStr">
        <x:is>
          <x:t xml:space="preserve">• "Situação" e "Dias até a revisão" são calculados; não digite nessas colunas.</x:t>
        </x:is>
      </x:c>
    </x:row>
    <x:row r="21">
      <x:c r="B21" s="5" t="inlineStr">
        <x:is>
          <x:t xml:space="preserve">• Estas medidas apoiam a conversa; não produzem nota oficial DCAM nem equivalência com modelo de maturidade.</x:t>
        </x:is>
      </x:c>
    </x:row>
    <x:row r="22" ht="96" customHeight="1">
      <x:c r="A22" t="str">
        <x:v>Critério do indicador</x:v>
      </x:c>
      <x:c r="B22" s="26" t="str">
        <x:v>Em Evidências, selecione &gt;= (mínimo), &lt;= (máximo) ou Exato na coluna R. Informe meta e observado na mesma unidade, indicada na descrição do indicador; ajuste o formato numérico da linha se necessário. Sem critério, não há avaliação automática.</x:v>
      </x:c>
    </x:row>
    <x:row r="23" ht="32" customHeight="1">
      <x:c r="A23" s="4" t="inlineStr">
        <x:is>
          <x:t xml:space="preserve">Aviso</x:t>
        </x:is>
      </x:c>
      <x:c r="B23" s="12" t="inlineStr">
        <x:is>
          <x:t xml:space="preserve">São modelos de trabalho KDV, não formulários oficiais DAMA/DCAM nem uma implementação validada de um padrão de contratos.</x:t>
        </x:is>
      </x:c>
    </x:row>
    <x:row r="24" ht="48" customHeight="1">
      <x:c r="A24" s="4" t="inlineStr">
        <x:is>
          <x:t xml:space="preserve">Licença</x:t>
        </x:is>
      </x:c>
      <x:c r="B24" s="13" t="inlineStr">
        <x:is>
          <x:t xml:space="preserve">Adaptado de "Registo de evidências" (evidence-register.md), KDV Framework / Community edition 0.1. Modelo original © 2026 Lab of Codes &amp; Kolmeia, licença CC BY 4.0 (https://creativecommons.org/licenses/by/4.0/) — https://github.com/kolmeia-dataecosystems/kdv-framework. Alterações: conversão para XLSX, português do Brasil, estrutura tabular, listas de opções, orientações e linha de exemplo.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4" customWidth="1"/>
    <x:col min="2" max="2" width="18" customWidth="1"/>
    <x:col min="3" max="3" width="20" customWidth="1"/>
    <x:col min="4" max="4" width="22" customWidth="1"/>
    <x:col min="5" max="5" width="30" customWidth="1"/>
    <x:col min="6" max="6" width="13" customWidth="1"/>
    <x:col min="7" max="7" width="26" customWidth="1"/>
    <x:col min="8" max="8" width="28" customWidth="1"/>
    <x:col min="9" max="9" width="12" customWidth="1"/>
    <x:col min="10" max="10" width="24" customWidth="1"/>
    <x:col min="11" max="11" width="10" customWidth="1"/>
    <x:col min="12" max="12" width="10" customWidth="1"/>
    <x:col min="13" max="13" width="16" customWidth="1"/>
    <x:col min="14" max="14" width="30" customWidth="1"/>
    <x:col min="15" max="15" width="12" customWidth="1"/>
    <x:col min="16" max="16" width="12" customWidth="1"/>
    <x:col min="17" max="17" width="10" customWidth="1"/>
    <x:col min="18" max="18" width="22" hidden="0" customWidth="1"/>
  </x:cols>
  <x:sheetData>
    <x:row r="1" ht="34" customHeight="1">
      <x:c r="A1" s="14" t="inlineStr">
        <x:is>
          <x:t xml:space="preserve">Prática / política</x:t>
        </x:is>
      </x:c>
      <x:c r="B1" s="14" t="inlineStr">
        <x:is>
          <x:t xml:space="preserve">Escopo</x:t>
        </x:is>
      </x:c>
      <x:c r="C1" s="14" t="inlineStr">
        <x:is>
          <x:t xml:space="preserve">Responsável (nome)</x:t>
        </x:is>
      </x:c>
      <x:c r="D1" s="14" t="inlineStr">
        <x:is>
          <x:t xml:space="preserve">Papel</x:t>
        </x:is>
      </x:c>
      <x:c r="E1" s="14" t="inlineStr">
        <x:is>
          <x:t xml:space="preserve">Controle implementado</x:t>
        </x:is>
      </x:c>
      <x:c r="F1" s="14" t="inlineStr">
        <x:is>
          <x:t xml:space="preserve">Tipo de controle</x:t>
        </x:is>
      </x:c>
      <x:c r="G1" s="14" t="inlineStr">
        <x:is>
          <x:t xml:space="preserve">Artefato de evidência</x:t>
        </x:is>
      </x:c>
      <x:c r="H1" s="14" t="inlineStr">
        <x:is>
          <x:t xml:space="preserve">Localização / link</x:t>
        </x:is>
      </x:c>
      <x:c r="I1" s="14" t="inlineStr">
        <x:is>
          <x:t xml:space="preserve">Data da observação</x:t>
        </x:is>
      </x:c>
      <x:c r="J1" s="14" t="inlineStr">
        <x:is>
          <x:t xml:space="preserve">Indicador</x:t>
        </x:is>
      </x:c>
      <x:c r="K1" s="14" t="inlineStr">
        <x:is>
          <x:t xml:space="preserve">Meta</x:t>
        </x:is>
      </x:c>
      <x:c r="L1" s="14" t="inlineStr">
        <x:is>
          <x:t xml:space="preserve">Valor observado</x:t>
        </x:is>
      </x:c>
      <x:c r="M1" s="14" t="inlineStr">
        <x:is>
          <x:t xml:space="preserve">Situação</x:t>
        </x:is>
      </x:c>
      <x:c r="N1" s="14" t="inlineStr">
        <x:is>
          <x:t xml:space="preserve">Exceção / ação corretiva</x:t>
        </x:is>
      </x:c>
      <x:c r="O1" s="14" t="inlineStr">
        <x:is>
          <x:t xml:space="preserve">Prazo da ação</x:t>
        </x:is>
      </x:c>
      <x:c r="P1" s="14" t="inlineStr">
        <x:is>
          <x:t xml:space="preserve">Próxima revisão</x:t>
        </x:is>
      </x:c>
      <x:c r="Q1" s="14" t="inlineStr">
        <x:is>
          <x:t xml:space="preserve">Dias até a revisão</x:t>
        </x:is>
      </x:c>
      <x:c r="R1" s="14" t="str">
        <x:v>Critério da meta</x:v>
      </x:c>
    </x:row>
    <x:row r="2">
      <x:c r="A2" s="15" t="inlineStr">
        <x:is>
          <x:t xml:space="preserve">Todo produto compartilhado tem contrato versionado</x:t>
        </x:is>
      </x:c>
      <x:c r="B2" s="15" t="inlineStr">
        <x:is>
          <x:t xml:space="preserve">Domínio (Hive)</x:t>
        </x:is>
      </x:c>
      <x:c r="C2" s="15" t="inlineStr">
        <x:is>
          <x:t xml:space="preserve">Nome Sobrenome</x:t>
        </x:is>
      </x:c>
      <x:c r="D2" s="15" t="inlineStr">
        <x:is>
          <x:t xml:space="preserve">Steward coordenador</x:t>
        </x:is>
      </x:c>
      <x:c r="E2" s="15" t="inlineStr">
        <x:is>
          <x:t xml:space="preserve">Revisão de contrato antes de cada publicação</x:t>
        </x:is>
      </x:c>
      <x:c r="F2" s="15" t="inlineStr">
        <x:is>
          <x:t xml:space="preserve">Manual</x:t>
        </x:is>
      </x:c>
      <x:c r="G2" s="15" t="inlineStr">
        <x:is>
          <x:t xml:space="preserve">Lista de contratos vigentes</x:t>
        </x:is>
      </x:c>
      <x:c r="H2" s="15" t="inlineStr">
        <x:is>
          <x:t xml:space="preserve">link</x:t>
        </x:is>
      </x:c>
      <x:c r="I2" s="16" t="n">
        <x:v>46315</x:v>
      </x:c>
      <x:c r="J2" s="15" t="inlineStr">
        <x:is>
          <x:t xml:space="preserve">Cobertura de contratos</x:t>
        </x:is>
      </x:c>
      <x:c r="K2" s="17" t="n">
        <x:v>0.95</x:v>
      </x:c>
      <x:c r="L2" s="17" t="n">
        <x:v>0.8</x:v>
      </x:c>
      <x:c r="M2" s="18" t="str">
        <x:f>IF(AND(ISBLANK(K2),ISBLANK(L2)),"",IF(OR(ISBLANK(K2),ISBLANK(L2)),"Sem evidência",IF(COUNT(K2:L2)&lt;&gt;2,"Use valores numéricos",IF(R2="&gt;=",IF(L2&gt;=K2,"Atende","Não atende"),IF(R2="&lt;=",IF(L2&lt;=K2,"Atende","Não atende"),IF(R2="Exato",IF(L2=K2,"Atende","Não atende"),"Defina o critério"))))))</x:f>
        <x:v>Não atende</x:v>
      </x:c>
      <x:c r="N2" s="15" t="inlineStr">
        <x:is>
          <x:t xml:space="preserve">Publicar contratos dos 2 produtos pendentes</x:t>
        </x:is>
      </x:c>
      <x:c r="O2" s="16" t="n">
        <x:v>46407</x:v>
      </x:c>
      <x:c r="P2" s="16" t="n">
        <x:v>46407</x:v>
      </x:c>
      <x:c r="Q2" s="18" t="n">
        <x:f>IF(P2="","",P2-TODAY())</x:f>
        <x:v>90</x:v>
      </x:c>
      <x:c r="R2" s="15" t="str">
        <x:v>&gt;=</x:v>
      </x:c>
    </x:row>
    <x:row r="3">
      <x:c r="A3" s="19" t="n"/>
      <x:c r="B3" s="19" t="n"/>
      <x:c r="C3" s="19" t="n"/>
      <x:c r="D3" s="19" t="n"/>
      <x:c r="E3" s="19" t="n"/>
      <x:c r="F3" s="19" t="n"/>
      <x:c r="G3" s="19" t="n"/>
      <x:c r="H3" s="19" t="n"/>
      <x:c r="I3" s="20" t="n"/>
      <x:c r="J3" s="19" t="n"/>
      <x:c r="K3" s="25"/>
      <x:c r="L3" s="25"/>
      <x:c r="M3" s="18" t="str">
        <x:f>IF(AND(ISBLANK(K3),ISBLANK(L3)),"",IF(OR(ISBLANK(K3),ISBLANK(L3)),"Sem evidência",IF(COUNT(K3:L3)&lt;&gt;2,"Use valores numéricos",IF(R3="&gt;=",IF(L3&gt;=K3,"Atende","Não atende"),IF(R3="&lt;=",IF(L3&lt;=K3,"Atende","Não atende"),IF(R3="Exato",IF(L3=K3,"Atende","Não atende"),"Defina o critério"))))))</x:f>
      </x:c>
      <x:c r="N3" s="19" t="n"/>
      <x:c r="O3" s="20" t="n"/>
      <x:c r="P3" s="20" t="n"/>
      <x:c r="Q3" s="22" t="str">
        <x:f>IF(P3="","",P3-TODAY())</x:f>
      </x:c>
      <x:c r="R3" s="19"/>
    </x:row>
    <x:row r="4">
      <x:c r="A4" s="19" t="n"/>
      <x:c r="B4" s="19" t="n"/>
      <x:c r="C4" s="19" t="n"/>
      <x:c r="D4" s="19" t="n"/>
      <x:c r="E4" s="19" t="n"/>
      <x:c r="F4" s="19" t="n"/>
      <x:c r="G4" s="19" t="n"/>
      <x:c r="H4" s="19" t="n"/>
      <x:c r="I4" s="20" t="n"/>
      <x:c r="J4" s="19" t="n"/>
      <x:c r="K4" s="25" t="n"/>
      <x:c r="L4" s="25" t="n"/>
      <x:c r="M4" s="18" t="str">
        <x:f>IF(AND(ISBLANK(K4),ISBLANK(L4)),"",IF(OR(ISBLANK(K4),ISBLANK(L4)),"Sem evidência",IF(COUNT(K4:L4)&lt;&gt;2,"Use valores numéricos",IF(R4="&gt;=",IF(L4&gt;=K4,"Atende","Não atende"),IF(R4="&lt;=",IF(L4&lt;=K4,"Atende","Não atende"),IF(R4="Exato",IF(L4=K4,"Atende","Não atende"),"Defina o critério"))))))</x:f>
      </x:c>
      <x:c r="N4" s="19" t="n"/>
      <x:c r="O4" s="20" t="n"/>
      <x:c r="P4" s="20" t="n"/>
      <x:c r="Q4" s="22" t="str">
        <x:f>IF(P4="","",P4-TODAY())</x:f>
      </x:c>
      <x:c r="R4" s="19"/>
    </x:row>
    <x:row r="5">
      <x:c r="A5" s="19" t="n"/>
      <x:c r="B5" s="19" t="n"/>
      <x:c r="C5" s="19" t="n"/>
      <x:c r="D5" s="19" t="n"/>
      <x:c r="E5" s="19" t="n"/>
      <x:c r="F5" s="19" t="n"/>
      <x:c r="G5" s="19" t="n"/>
      <x:c r="H5" s="19" t="n"/>
      <x:c r="I5" s="20" t="n"/>
      <x:c r="J5" s="19" t="n"/>
      <x:c r="K5" s="25" t="n"/>
      <x:c r="L5" s="25" t="n"/>
      <x:c r="M5" s="18" t="str">
        <x:f>IF(AND(ISBLANK(K5),ISBLANK(L5)),"",IF(OR(ISBLANK(K5),ISBLANK(L5)),"Sem evidência",IF(COUNT(K5:L5)&lt;&gt;2,"Use valores numéricos",IF(R5="&gt;=",IF(L5&gt;=K5,"Atende","Não atende"),IF(R5="&lt;=",IF(L5&lt;=K5,"Atende","Não atende"),IF(R5="Exato",IF(L5=K5,"Atende","Não atende"),"Defina o critério"))))))</x:f>
      </x:c>
      <x:c r="N5" s="19" t="n"/>
      <x:c r="O5" s="20" t="n"/>
      <x:c r="P5" s="20" t="n"/>
      <x:c r="Q5" s="22" t="str">
        <x:f>IF(P5="","",P5-TODAY())</x:f>
      </x:c>
      <x:c r="R5" s="19"/>
    </x:row>
    <x:row r="6">
      <x:c r="A6" s="19" t="n"/>
      <x:c r="B6" s="19" t="n"/>
      <x:c r="C6" s="19" t="n"/>
      <x:c r="D6" s="19" t="n"/>
      <x:c r="E6" s="19" t="n"/>
      <x:c r="F6" s="19" t="n"/>
      <x:c r="G6" s="19" t="n"/>
      <x:c r="H6" s="19" t="n"/>
      <x:c r="I6" s="20" t="n"/>
      <x:c r="J6" s="19" t="n"/>
      <x:c r="K6" s="25" t="n"/>
      <x:c r="L6" s="25" t="n"/>
      <x:c r="M6" s="18" t="str">
        <x:f>IF(AND(ISBLANK(K6),ISBLANK(L6)),"",IF(OR(ISBLANK(K6),ISBLANK(L6)),"Sem evidência",IF(COUNT(K6:L6)&lt;&gt;2,"Use valores numéricos",IF(R6="&gt;=",IF(L6&gt;=K6,"Atende","Não atende"),IF(R6="&lt;=",IF(L6&lt;=K6,"Atende","Não atende"),IF(R6="Exato",IF(L6=K6,"Atende","Não atende"),"Defina o critério"))))))</x:f>
      </x:c>
      <x:c r="N6" s="19" t="n"/>
      <x:c r="O6" s="20" t="n"/>
      <x:c r="P6" s="20" t="n"/>
      <x:c r="Q6" s="22" t="str">
        <x:f>IF(P6="","",P6-TODAY())</x:f>
      </x:c>
      <x:c r="R6" s="19"/>
    </x:row>
    <x:row r="7">
      <x:c r="A7" s="19" t="n"/>
      <x:c r="B7" s="19" t="n"/>
      <x:c r="C7" s="19" t="n"/>
      <x:c r="D7" s="19" t="n"/>
      <x:c r="E7" s="19" t="n"/>
      <x:c r="F7" s="19" t="n"/>
      <x:c r="G7" s="19" t="n"/>
      <x:c r="H7" s="19" t="n"/>
      <x:c r="I7" s="20" t="n"/>
      <x:c r="J7" s="19" t="n"/>
      <x:c r="K7" s="25" t="n"/>
      <x:c r="L7" s="25" t="n"/>
      <x:c r="M7" s="18" t="str">
        <x:f>IF(AND(ISBLANK(K7),ISBLANK(L7)),"",IF(OR(ISBLANK(K7),ISBLANK(L7)),"Sem evidência",IF(COUNT(K7:L7)&lt;&gt;2,"Use valores numéricos",IF(R7="&gt;=",IF(L7&gt;=K7,"Atende","Não atende"),IF(R7="&lt;=",IF(L7&lt;=K7,"Atende","Não atende"),IF(R7="Exato",IF(L7=K7,"Atende","Não atende"),"Defina o critério"))))))</x:f>
      </x:c>
      <x:c r="N7" s="19" t="n"/>
      <x:c r="O7" s="20" t="n"/>
      <x:c r="P7" s="20" t="n"/>
      <x:c r="Q7" s="22" t="str">
        <x:f>IF(P7="","",P7-TODAY())</x:f>
      </x:c>
      <x:c r="R7" s="19"/>
    </x:row>
    <x:row r="8">
      <x:c r="A8" s="19" t="n"/>
      <x:c r="B8" s="19" t="n"/>
      <x:c r="C8" s="19" t="n"/>
      <x:c r="D8" s="19" t="n"/>
      <x:c r="E8" s="19" t="n"/>
      <x:c r="F8" s="19" t="n"/>
      <x:c r="G8" s="19" t="n"/>
      <x:c r="H8" s="19" t="n"/>
      <x:c r="I8" s="20" t="n"/>
      <x:c r="J8" s="19" t="n"/>
      <x:c r="K8" s="25" t="n"/>
      <x:c r="L8" s="25" t="n"/>
      <x:c r="M8" s="18" t="str">
        <x:f>IF(AND(ISBLANK(K8),ISBLANK(L8)),"",IF(OR(ISBLANK(K8),ISBLANK(L8)),"Sem evidência",IF(COUNT(K8:L8)&lt;&gt;2,"Use valores numéricos",IF(R8="&gt;=",IF(L8&gt;=K8,"Atende","Não atende"),IF(R8="&lt;=",IF(L8&lt;=K8,"Atende","Não atende"),IF(R8="Exato",IF(L8=K8,"Atende","Não atende"),"Defina o critério"))))))</x:f>
      </x:c>
      <x:c r="N8" s="19" t="n"/>
      <x:c r="O8" s="20" t="n"/>
      <x:c r="P8" s="20" t="n"/>
      <x:c r="Q8" s="22" t="str">
        <x:f>IF(P8="","",P8-TODAY())</x:f>
      </x:c>
      <x:c r="R8" s="19"/>
    </x:row>
    <x:row r="9">
      <x:c r="A9" s="19" t="n"/>
      <x:c r="B9" s="19" t="n"/>
      <x:c r="C9" s="19" t="n"/>
      <x:c r="D9" s="19" t="n"/>
      <x:c r="E9" s="19" t="n"/>
      <x:c r="F9" s="19" t="n"/>
      <x:c r="G9" s="19" t="n"/>
      <x:c r="H9" s="19" t="n"/>
      <x:c r="I9" s="20" t="n"/>
      <x:c r="J9" s="19" t="n"/>
      <x:c r="K9" s="25" t="n"/>
      <x:c r="L9" s="25" t="n"/>
      <x:c r="M9" s="18" t="str">
        <x:f>IF(AND(ISBLANK(K9),ISBLANK(L9)),"",IF(OR(ISBLANK(K9),ISBLANK(L9)),"Sem evidência",IF(COUNT(K9:L9)&lt;&gt;2,"Use valores numéricos",IF(R9="&gt;=",IF(L9&gt;=K9,"Atende","Não atende"),IF(R9="&lt;=",IF(L9&lt;=K9,"Atende","Não atende"),IF(R9="Exato",IF(L9=K9,"Atende","Não atende"),"Defina o critério"))))))</x:f>
      </x:c>
      <x:c r="N9" s="19" t="n"/>
      <x:c r="O9" s="20" t="n"/>
      <x:c r="P9" s="20" t="n"/>
      <x:c r="Q9" s="22" t="str">
        <x:f>IF(P9="","",P9-TODAY())</x:f>
      </x:c>
      <x:c r="R9" s="19"/>
    </x:row>
    <x:row r="10">
      <x:c r="A10" s="19" t="n"/>
      <x:c r="B10" s="19" t="n"/>
      <x:c r="C10" s="19" t="n"/>
      <x:c r="D10" s="19" t="n"/>
      <x:c r="E10" s="19" t="n"/>
      <x:c r="F10" s="19" t="n"/>
      <x:c r="G10" s="19" t="n"/>
      <x:c r="H10" s="19" t="n"/>
      <x:c r="I10" s="20" t="n"/>
      <x:c r="J10" s="19" t="n"/>
      <x:c r="K10" s="25" t="n"/>
      <x:c r="L10" s="25" t="n"/>
      <x:c r="M10" s="18" t="str">
        <x:f>IF(AND(ISBLANK(K10),ISBLANK(L10)),"",IF(OR(ISBLANK(K10),ISBLANK(L10)),"Sem evidência",IF(COUNT(K10:L10)&lt;&gt;2,"Use valores numéricos",IF(R10="&gt;=",IF(L10&gt;=K10,"Atende","Não atende"),IF(R10="&lt;=",IF(L10&lt;=K10,"Atende","Não atende"),IF(R10="Exato",IF(L10=K10,"Atende","Não atende"),"Defina o critério"))))))</x:f>
      </x:c>
      <x:c r="N10" s="19" t="n"/>
      <x:c r="O10" s="20" t="n"/>
      <x:c r="P10" s="20" t="n"/>
      <x:c r="Q10" s="22" t="str">
        <x:f>IF(P10="","",P10-TODAY())</x:f>
      </x:c>
      <x:c r="R10" s="19"/>
    </x:row>
    <x:row r="11">
      <x:c r="A11" s="19" t="n"/>
      <x:c r="B11" s="19" t="n"/>
      <x:c r="C11" s="19" t="n"/>
      <x:c r="D11" s="19" t="n"/>
      <x:c r="E11" s="19" t="n"/>
      <x:c r="F11" s="19" t="n"/>
      <x:c r="G11" s="19" t="n"/>
      <x:c r="H11" s="19" t="n"/>
      <x:c r="I11" s="20" t="n"/>
      <x:c r="J11" s="19" t="n"/>
      <x:c r="K11" s="25" t="n"/>
      <x:c r="L11" s="25" t="n"/>
      <x:c r="M11" s="18" t="str">
        <x:f>IF(AND(ISBLANK(K11),ISBLANK(L11)),"",IF(OR(ISBLANK(K11),ISBLANK(L11)),"Sem evidência",IF(COUNT(K11:L11)&lt;&gt;2,"Use valores numéricos",IF(R11="&gt;=",IF(L11&gt;=K11,"Atende","Não atende"),IF(R11="&lt;=",IF(L11&lt;=K11,"Atende","Não atende"),IF(R11="Exato",IF(L11=K11,"Atende","Não atende"),"Defina o critério"))))))</x:f>
      </x:c>
      <x:c r="N11" s="19" t="n"/>
      <x:c r="O11" s="20" t="n"/>
      <x:c r="P11" s="20" t="n"/>
      <x:c r="Q11" s="22" t="str">
        <x:f>IF(P11="","",P11-TODAY())</x:f>
      </x:c>
      <x:c r="R11" s="19"/>
    </x:row>
    <x:row r="12">
      <x:c r="A12" s="19" t="n"/>
      <x:c r="B12" s="19" t="n"/>
      <x:c r="C12" s="19" t="n"/>
      <x:c r="D12" s="19" t="n"/>
      <x:c r="E12" s="19" t="n"/>
      <x:c r="F12" s="19" t="n"/>
      <x:c r="G12" s="19" t="n"/>
      <x:c r="H12" s="19" t="n"/>
      <x:c r="I12" s="20" t="n"/>
      <x:c r="J12" s="19" t="n"/>
      <x:c r="K12" s="25" t="n"/>
      <x:c r="L12" s="25" t="n"/>
      <x:c r="M12" s="18" t="str">
        <x:f>IF(AND(ISBLANK(K12),ISBLANK(L12)),"",IF(OR(ISBLANK(K12),ISBLANK(L12)),"Sem evidência",IF(COUNT(K12:L12)&lt;&gt;2,"Use valores numéricos",IF(R12="&gt;=",IF(L12&gt;=K12,"Atende","Não atende"),IF(R12="&lt;=",IF(L12&lt;=K12,"Atende","Não atende"),IF(R12="Exato",IF(L12=K12,"Atende","Não atende"),"Defina o critério"))))))</x:f>
      </x:c>
      <x:c r="N12" s="19" t="n"/>
      <x:c r="O12" s="20" t="n"/>
      <x:c r="P12" s="20" t="n"/>
      <x:c r="Q12" s="22" t="str">
        <x:f>IF(P12="","",P12-TODAY())</x:f>
      </x:c>
      <x:c r="R12" s="19"/>
    </x:row>
    <x:row r="13">
      <x:c r="A13" s="19" t="n"/>
      <x:c r="B13" s="19" t="n"/>
      <x:c r="C13" s="19" t="n"/>
      <x:c r="D13" s="19" t="n"/>
      <x:c r="E13" s="19" t="n"/>
      <x:c r="F13" s="19" t="n"/>
      <x:c r="G13" s="19" t="n"/>
      <x:c r="H13" s="19" t="n"/>
      <x:c r="I13" s="20" t="n"/>
      <x:c r="J13" s="19" t="n"/>
      <x:c r="K13" s="25" t="n"/>
      <x:c r="L13" s="25" t="n"/>
      <x:c r="M13" s="18" t="str">
        <x:f>IF(AND(ISBLANK(K13),ISBLANK(L13)),"",IF(OR(ISBLANK(K13),ISBLANK(L13)),"Sem evidência",IF(COUNT(K13:L13)&lt;&gt;2,"Use valores numéricos",IF(R13="&gt;=",IF(L13&gt;=K13,"Atende","Não atende"),IF(R13="&lt;=",IF(L13&lt;=K13,"Atende","Não atende"),IF(R13="Exato",IF(L13=K13,"Atende","Não atende"),"Defina o critério"))))))</x:f>
      </x:c>
      <x:c r="N13" s="19" t="n"/>
      <x:c r="O13" s="20" t="n"/>
      <x:c r="P13" s="20" t="n"/>
      <x:c r="Q13" s="22" t="str">
        <x:f>IF(P13="","",P13-TODAY())</x:f>
      </x:c>
      <x:c r="R13" s="19"/>
    </x:row>
    <x:row r="14">
      <x:c r="A14" s="19" t="n"/>
      <x:c r="B14" s="19" t="n"/>
      <x:c r="C14" s="19" t="n"/>
      <x:c r="D14" s="19" t="n"/>
      <x:c r="E14" s="19" t="n"/>
      <x:c r="F14" s="19" t="n"/>
      <x:c r="G14" s="19" t="n"/>
      <x:c r="H14" s="19" t="n"/>
      <x:c r="I14" s="20" t="n"/>
      <x:c r="J14" s="19" t="n"/>
      <x:c r="K14" s="25" t="n"/>
      <x:c r="L14" s="25" t="n"/>
      <x:c r="M14" s="18" t="str">
        <x:f>IF(AND(ISBLANK(K14),ISBLANK(L14)),"",IF(OR(ISBLANK(K14),ISBLANK(L14)),"Sem evidência",IF(COUNT(K14:L14)&lt;&gt;2,"Use valores numéricos",IF(R14="&gt;=",IF(L14&gt;=K14,"Atende","Não atende"),IF(R14="&lt;=",IF(L14&lt;=K14,"Atende","Não atende"),IF(R14="Exato",IF(L14=K14,"Atende","Não atende"),"Defina o critério"))))))</x:f>
      </x:c>
      <x:c r="N14" s="19" t="n"/>
      <x:c r="O14" s="20" t="n"/>
      <x:c r="P14" s="20" t="n"/>
      <x:c r="Q14" s="22" t="str">
        <x:f>IF(P14="","",P14-TODAY())</x:f>
      </x:c>
      <x:c r="R14" s="19"/>
    </x:row>
    <x:row r="15">
      <x:c r="A15" s="19" t="n"/>
      <x:c r="B15" s="19" t="n"/>
      <x:c r="C15" s="19" t="n"/>
      <x:c r="D15" s="19" t="n"/>
      <x:c r="E15" s="19" t="n"/>
      <x:c r="F15" s="19" t="n"/>
      <x:c r="G15" s="19" t="n"/>
      <x:c r="H15" s="19" t="n"/>
      <x:c r="I15" s="20" t="n"/>
      <x:c r="J15" s="19" t="n"/>
      <x:c r="K15" s="25" t="n"/>
      <x:c r="L15" s="25" t="n"/>
      <x:c r="M15" s="18" t="str">
        <x:f>IF(AND(ISBLANK(K15),ISBLANK(L15)),"",IF(OR(ISBLANK(K15),ISBLANK(L15)),"Sem evidência",IF(COUNT(K15:L15)&lt;&gt;2,"Use valores numéricos",IF(R15="&gt;=",IF(L15&gt;=K15,"Atende","Não atende"),IF(R15="&lt;=",IF(L15&lt;=K15,"Atende","Não atende"),IF(R15="Exato",IF(L15=K15,"Atende","Não atende"),"Defina o critério"))))))</x:f>
      </x:c>
      <x:c r="N15" s="19" t="n"/>
      <x:c r="O15" s="20" t="n"/>
      <x:c r="P15" s="20" t="n"/>
      <x:c r="Q15" s="22" t="str">
        <x:f>IF(P15="","",P15-TODAY())</x:f>
      </x:c>
      <x:c r="R15" s="19"/>
    </x:row>
    <x:row r="16">
      <x:c r="A16" s="19" t="n"/>
      <x:c r="B16" s="19" t="n"/>
      <x:c r="C16" s="19" t="n"/>
      <x:c r="D16" s="19" t="n"/>
      <x:c r="E16" s="19" t="n"/>
      <x:c r="F16" s="19" t="n"/>
      <x:c r="G16" s="19" t="n"/>
      <x:c r="H16" s="19" t="n"/>
      <x:c r="I16" s="20" t="n"/>
      <x:c r="J16" s="19" t="n"/>
      <x:c r="K16" s="25" t="n"/>
      <x:c r="L16" s="25" t="n"/>
      <x:c r="M16" s="18" t="str">
        <x:f>IF(AND(ISBLANK(K16),ISBLANK(L16)),"",IF(OR(ISBLANK(K16),ISBLANK(L16)),"Sem evidência",IF(COUNT(K16:L16)&lt;&gt;2,"Use valores numéricos",IF(R16="&gt;=",IF(L16&gt;=K16,"Atende","Não atende"),IF(R16="&lt;=",IF(L16&lt;=K16,"Atende","Não atende"),IF(R16="Exato",IF(L16=K16,"Atende","Não atende"),"Defina o critério"))))))</x:f>
      </x:c>
      <x:c r="N16" s="19" t="n"/>
      <x:c r="O16" s="20" t="n"/>
      <x:c r="P16" s="20" t="n"/>
      <x:c r="Q16" s="22" t="str">
        <x:f>IF(P16="","",P16-TODAY())</x:f>
      </x:c>
      <x:c r="R16" s="19"/>
    </x:row>
    <x:row r="17">
      <x:c r="A17" s="19" t="n"/>
      <x:c r="B17" s="19" t="n"/>
      <x:c r="C17" s="19" t="n"/>
      <x:c r="D17" s="19" t="n"/>
      <x:c r="E17" s="19" t="n"/>
      <x:c r="F17" s="19" t="n"/>
      <x:c r="G17" s="19" t="n"/>
      <x:c r="H17" s="19" t="n"/>
      <x:c r="I17" s="20" t="n"/>
      <x:c r="J17" s="19" t="n"/>
      <x:c r="K17" s="25" t="n"/>
      <x:c r="L17" s="25" t="n"/>
      <x:c r="M17" s="18" t="str">
        <x:f>IF(AND(ISBLANK(K17),ISBLANK(L17)),"",IF(OR(ISBLANK(K17),ISBLANK(L17)),"Sem evidência",IF(COUNT(K17:L17)&lt;&gt;2,"Use valores numéricos",IF(R17="&gt;=",IF(L17&gt;=K17,"Atende","Não atende"),IF(R17="&lt;=",IF(L17&lt;=K17,"Atende","Não atende"),IF(R17="Exato",IF(L17=K17,"Atende","Não atende"),"Defina o critério"))))))</x:f>
      </x:c>
      <x:c r="N17" s="19" t="n"/>
      <x:c r="O17" s="20" t="n"/>
      <x:c r="P17" s="20" t="n"/>
      <x:c r="Q17" s="22" t="str">
        <x:f>IF(P17="","",P17-TODAY())</x:f>
      </x:c>
      <x:c r="R17" s="19"/>
    </x:row>
    <x:row r="18">
      <x:c r="A18" s="19" t="n"/>
      <x:c r="B18" s="19" t="n"/>
      <x:c r="C18" s="19" t="n"/>
      <x:c r="D18" s="19" t="n"/>
      <x:c r="E18" s="19" t="n"/>
      <x:c r="F18" s="19" t="n"/>
      <x:c r="G18" s="19" t="n"/>
      <x:c r="H18" s="19" t="n"/>
      <x:c r="I18" s="20" t="n"/>
      <x:c r="J18" s="19" t="n"/>
      <x:c r="K18" s="25" t="n"/>
      <x:c r="L18" s="25" t="n"/>
      <x:c r="M18" s="18" t="str">
        <x:f>IF(AND(ISBLANK(K18),ISBLANK(L18)),"",IF(OR(ISBLANK(K18),ISBLANK(L18)),"Sem evidência",IF(COUNT(K18:L18)&lt;&gt;2,"Use valores numéricos",IF(R18="&gt;=",IF(L18&gt;=K18,"Atende","Não atende"),IF(R18="&lt;=",IF(L18&lt;=K18,"Atende","Não atende"),IF(R18="Exato",IF(L18=K18,"Atende","Não atende"),"Defina o critério"))))))</x:f>
      </x:c>
      <x:c r="N18" s="19" t="n"/>
      <x:c r="O18" s="20" t="n"/>
      <x:c r="P18" s="20" t="n"/>
      <x:c r="Q18" s="22" t="str">
        <x:f>IF(P18="","",P18-TODAY())</x:f>
      </x:c>
      <x:c r="R18" s="19"/>
    </x:row>
    <x:row r="19">
      <x:c r="A19" s="19" t="n"/>
      <x:c r="B19" s="19" t="n"/>
      <x:c r="C19" s="19" t="n"/>
      <x:c r="D19" s="19" t="n"/>
      <x:c r="E19" s="19" t="n"/>
      <x:c r="F19" s="19" t="n"/>
      <x:c r="G19" s="19" t="n"/>
      <x:c r="H19" s="19" t="n"/>
      <x:c r="I19" s="20" t="n"/>
      <x:c r="J19" s="19" t="n"/>
      <x:c r="K19" s="25" t="n"/>
      <x:c r="L19" s="25" t="n"/>
      <x:c r="M19" s="18" t="str">
        <x:f>IF(AND(ISBLANK(K19),ISBLANK(L19)),"",IF(OR(ISBLANK(K19),ISBLANK(L19)),"Sem evidência",IF(COUNT(K19:L19)&lt;&gt;2,"Use valores numéricos",IF(R19="&gt;=",IF(L19&gt;=K19,"Atende","Não atende"),IF(R19="&lt;=",IF(L19&lt;=K19,"Atende","Não atende"),IF(R19="Exato",IF(L19=K19,"Atende","Não atende"),"Defina o critério"))))))</x:f>
      </x:c>
      <x:c r="N19" s="19" t="n"/>
      <x:c r="O19" s="20" t="n"/>
      <x:c r="P19" s="20" t="n"/>
      <x:c r="Q19" s="22" t="str">
        <x:f>IF(P19="","",P19-TODAY())</x:f>
      </x:c>
      <x:c r="R19" s="19"/>
    </x:row>
    <x:row r="20">
      <x:c r="A20" s="19" t="n"/>
      <x:c r="B20" s="19" t="n"/>
      <x:c r="C20" s="19" t="n"/>
      <x:c r="D20" s="19" t="n"/>
      <x:c r="E20" s="19" t="n"/>
      <x:c r="F20" s="19" t="n"/>
      <x:c r="G20" s="19" t="n"/>
      <x:c r="H20" s="19" t="n"/>
      <x:c r="I20" s="20" t="n"/>
      <x:c r="J20" s="19" t="n"/>
      <x:c r="K20" s="25" t="n"/>
      <x:c r="L20" s="25" t="n"/>
      <x:c r="M20" s="18" t="str">
        <x:f>IF(AND(ISBLANK(K20),ISBLANK(L20)),"",IF(OR(ISBLANK(K20),ISBLANK(L20)),"Sem evidência",IF(COUNT(K20:L20)&lt;&gt;2,"Use valores numéricos",IF(R20="&gt;=",IF(L20&gt;=K20,"Atende","Não atende"),IF(R20="&lt;=",IF(L20&lt;=K20,"Atende","Não atende"),IF(R20="Exato",IF(L20=K20,"Atende","Não atende"),"Defina o critério"))))))</x:f>
      </x:c>
      <x:c r="N20" s="19" t="n"/>
      <x:c r="O20" s="20" t="n"/>
      <x:c r="P20" s="20" t="n"/>
      <x:c r="Q20" s="22" t="str">
        <x:f>IF(P20="","",P20-TODAY())</x:f>
      </x:c>
      <x:c r="R20" s="19"/>
    </x:row>
    <x:row r="21">
      <x:c r="A21" s="19" t="n"/>
      <x:c r="B21" s="19" t="n"/>
      <x:c r="C21" s="19" t="n"/>
      <x:c r="D21" s="19" t="n"/>
      <x:c r="E21" s="19" t="n"/>
      <x:c r="F21" s="19" t="n"/>
      <x:c r="G21" s="19" t="n"/>
      <x:c r="H21" s="19" t="n"/>
      <x:c r="I21" s="20" t="n"/>
      <x:c r="J21" s="19" t="n"/>
      <x:c r="K21" s="25" t="n"/>
      <x:c r="L21" s="25" t="n"/>
      <x:c r="M21" s="18" t="str">
        <x:f>IF(AND(ISBLANK(K21),ISBLANK(L21)),"",IF(OR(ISBLANK(K21),ISBLANK(L21)),"Sem evidência",IF(COUNT(K21:L21)&lt;&gt;2,"Use valores numéricos",IF(R21="&gt;=",IF(L21&gt;=K21,"Atende","Não atende"),IF(R21="&lt;=",IF(L21&lt;=K21,"Atende","Não atende"),IF(R21="Exato",IF(L21=K21,"Atende","Não atende"),"Defina o critério"))))))</x:f>
      </x:c>
      <x:c r="N21" s="19" t="n"/>
      <x:c r="O21" s="20" t="n"/>
      <x:c r="P21" s="20" t="n"/>
      <x:c r="Q21" s="22" t="str">
        <x:f>IF(P21="","",P21-TODAY())</x:f>
      </x:c>
      <x:c r="R21" s="19"/>
    </x:row>
    <x:row r="22">
      <x:c r="A22" s="19" t="n"/>
      <x:c r="B22" s="19" t="n"/>
      <x:c r="C22" s="19" t="n"/>
      <x:c r="D22" s="19" t="n"/>
      <x:c r="E22" s="19" t="n"/>
      <x:c r="F22" s="19" t="n"/>
      <x:c r="G22" s="19" t="n"/>
      <x:c r="H22" s="19" t="n"/>
      <x:c r="I22" s="20" t="n"/>
      <x:c r="J22" s="19" t="n"/>
      <x:c r="K22" s="25" t="n"/>
      <x:c r="L22" s="25" t="n"/>
      <x:c r="M22" s="18" t="str">
        <x:f>IF(AND(ISBLANK(K22),ISBLANK(L22)),"",IF(OR(ISBLANK(K22),ISBLANK(L22)),"Sem evidência",IF(COUNT(K22:L22)&lt;&gt;2,"Use valores numéricos",IF(R22="&gt;=",IF(L22&gt;=K22,"Atende","Não atende"),IF(R22="&lt;=",IF(L22&lt;=K22,"Atende","Não atende"),IF(R22="Exato",IF(L22=K22,"Atende","Não atende"),"Defina o critério"))))))</x:f>
      </x:c>
      <x:c r="N22" s="19" t="n"/>
      <x:c r="O22" s="20" t="n"/>
      <x:c r="P22" s="20" t="n"/>
      <x:c r="Q22" s="22" t="str">
        <x:f>IF(P22="","",P22-TODAY())</x:f>
      </x:c>
      <x:c r="R22" s="19"/>
    </x:row>
    <x:row r="23">
      <x:c r="A23" s="19" t="n"/>
      <x:c r="B23" s="19" t="n"/>
      <x:c r="C23" s="19" t="n"/>
      <x:c r="D23" s="19" t="n"/>
      <x:c r="E23" s="19" t="n"/>
      <x:c r="F23" s="19" t="n"/>
      <x:c r="G23" s="19" t="n"/>
      <x:c r="H23" s="19" t="n"/>
      <x:c r="I23" s="20" t="n"/>
      <x:c r="J23" s="19" t="n"/>
      <x:c r="K23" s="25" t="n"/>
      <x:c r="L23" s="25" t="n"/>
      <x:c r="M23" s="18" t="str">
        <x:f>IF(AND(ISBLANK(K23),ISBLANK(L23)),"",IF(OR(ISBLANK(K23),ISBLANK(L23)),"Sem evidência",IF(COUNT(K23:L23)&lt;&gt;2,"Use valores numéricos",IF(R23="&gt;=",IF(L23&gt;=K23,"Atende","Não atende"),IF(R23="&lt;=",IF(L23&lt;=K23,"Atende","Não atende"),IF(R23="Exato",IF(L23=K23,"Atende","Não atende"),"Defina o critério"))))))</x:f>
      </x:c>
      <x:c r="N23" s="19" t="n"/>
      <x:c r="O23" s="20" t="n"/>
      <x:c r="P23" s="20" t="n"/>
      <x:c r="Q23" s="22" t="str">
        <x:f>IF(P23="","",P23-TODAY())</x:f>
      </x:c>
      <x:c r="R23" s="19"/>
    </x:row>
    <x:row r="24">
      <x:c r="A24" s="19" t="n"/>
      <x:c r="B24" s="19" t="n"/>
      <x:c r="C24" s="19" t="n"/>
      <x:c r="D24" s="19" t="n"/>
      <x:c r="E24" s="19" t="n"/>
      <x:c r="F24" s="19" t="n"/>
      <x:c r="G24" s="19" t="n"/>
      <x:c r="H24" s="19" t="n"/>
      <x:c r="I24" s="20" t="n"/>
      <x:c r="J24" s="19" t="n"/>
      <x:c r="K24" s="25" t="n"/>
      <x:c r="L24" s="25" t="n"/>
      <x:c r="M24" s="18" t="str">
        <x:f>IF(AND(ISBLANK(K24),ISBLANK(L24)),"",IF(OR(ISBLANK(K24),ISBLANK(L24)),"Sem evidência",IF(COUNT(K24:L24)&lt;&gt;2,"Use valores numéricos",IF(R24="&gt;=",IF(L24&gt;=K24,"Atende","Não atende"),IF(R24="&lt;=",IF(L24&lt;=K24,"Atende","Não atende"),IF(R24="Exato",IF(L24=K24,"Atende","Não atende"),"Defina o critério"))))))</x:f>
      </x:c>
      <x:c r="N24" s="19" t="n"/>
      <x:c r="O24" s="20" t="n"/>
      <x:c r="P24" s="20" t="n"/>
      <x:c r="Q24" s="22" t="str">
        <x:f>IF(P24="","",P24-TODAY())</x:f>
      </x:c>
      <x:c r="R24" s="19"/>
    </x:row>
    <x:row r="25">
      <x:c r="A25" s="19" t="n"/>
      <x:c r="B25" s="19" t="n"/>
      <x:c r="C25" s="19" t="n"/>
      <x:c r="D25" s="19" t="n"/>
      <x:c r="E25" s="19" t="n"/>
      <x:c r="F25" s="19" t="n"/>
      <x:c r="G25" s="19" t="n"/>
      <x:c r="H25" s="19" t="n"/>
      <x:c r="I25" s="20" t="n"/>
      <x:c r="J25" s="19" t="n"/>
      <x:c r="K25" s="25" t="n"/>
      <x:c r="L25" s="25" t="n"/>
      <x:c r="M25" s="18" t="str">
        <x:f>IF(AND(ISBLANK(K25),ISBLANK(L25)),"",IF(OR(ISBLANK(K25),ISBLANK(L25)),"Sem evidência",IF(COUNT(K25:L25)&lt;&gt;2,"Use valores numéricos",IF(R25="&gt;=",IF(L25&gt;=K25,"Atende","Não atende"),IF(R25="&lt;=",IF(L25&lt;=K25,"Atende","Não atende"),IF(R25="Exato",IF(L25=K25,"Atende","Não atende"),"Defina o critério"))))))</x:f>
      </x:c>
      <x:c r="N25" s="19" t="n"/>
      <x:c r="O25" s="20" t="n"/>
      <x:c r="P25" s="20" t="n"/>
      <x:c r="Q25" s="22" t="str">
        <x:f>IF(P25="","",P25-TODAY())</x:f>
      </x:c>
      <x:c r="R25" s="19"/>
    </x:row>
    <x:row r="26">
      <x:c r="A26" s="19" t="n"/>
      <x:c r="B26" s="19" t="n"/>
      <x:c r="C26" s="19" t="n"/>
      <x:c r="D26" s="19" t="n"/>
      <x:c r="E26" s="19" t="n"/>
      <x:c r="F26" s="19" t="n"/>
      <x:c r="G26" s="19" t="n"/>
      <x:c r="H26" s="19" t="n"/>
      <x:c r="I26" s="20" t="n"/>
      <x:c r="J26" s="19" t="n"/>
      <x:c r="K26" s="25" t="n"/>
      <x:c r="L26" s="25" t="n"/>
      <x:c r="M26" s="18" t="str">
        <x:f>IF(AND(ISBLANK(K26),ISBLANK(L26)),"",IF(OR(ISBLANK(K26),ISBLANK(L26)),"Sem evidência",IF(COUNT(K26:L26)&lt;&gt;2,"Use valores numéricos",IF(R26="&gt;=",IF(L26&gt;=K26,"Atende","Não atende"),IF(R26="&lt;=",IF(L26&lt;=K26,"Atende","Não atende"),IF(R26="Exato",IF(L26=K26,"Atende","Não atende"),"Defina o critério"))))))</x:f>
      </x:c>
      <x:c r="N26" s="19" t="n"/>
      <x:c r="O26" s="20" t="n"/>
      <x:c r="P26" s="20" t="n"/>
      <x:c r="Q26" s="22" t="str">
        <x:f>IF(P26="","",P26-TODAY())</x:f>
      </x:c>
      <x:c r="R26" s="19"/>
    </x:row>
    <x:row r="27">
      <x:c r="A27" s="19" t="n"/>
      <x:c r="B27" s="19" t="n"/>
      <x:c r="C27" s="19" t="n"/>
      <x:c r="D27" s="19" t="n"/>
      <x:c r="E27" s="19" t="n"/>
      <x:c r="F27" s="19" t="n"/>
      <x:c r="G27" s="19" t="n"/>
      <x:c r="H27" s="19" t="n"/>
      <x:c r="I27" s="20" t="n"/>
      <x:c r="J27" s="19" t="n"/>
      <x:c r="K27" s="25" t="n"/>
      <x:c r="L27" s="25" t="n"/>
      <x:c r="M27" s="18" t="str">
        <x:f>IF(AND(ISBLANK(K27),ISBLANK(L27)),"",IF(OR(ISBLANK(K27),ISBLANK(L27)),"Sem evidência",IF(COUNT(K27:L27)&lt;&gt;2,"Use valores numéricos",IF(R27="&gt;=",IF(L27&gt;=K27,"Atende","Não atende"),IF(R27="&lt;=",IF(L27&lt;=K27,"Atende","Não atende"),IF(R27="Exato",IF(L27=K27,"Atende","Não atende"),"Defina o critério"))))))</x:f>
      </x:c>
      <x:c r="N27" s="19" t="n"/>
      <x:c r="O27" s="20" t="n"/>
      <x:c r="P27" s="20" t="n"/>
      <x:c r="Q27" s="22" t="str">
        <x:f>IF(P27="","",P27-TODAY())</x:f>
      </x:c>
      <x:c r="R27" s="19"/>
    </x:row>
    <x:row r="28">
      <x:c r="A28" s="19" t="n"/>
      <x:c r="B28" s="19" t="n"/>
      <x:c r="C28" s="19" t="n"/>
      <x:c r="D28" s="19" t="n"/>
      <x:c r="E28" s="19" t="n"/>
      <x:c r="F28" s="19" t="n"/>
      <x:c r="G28" s="19" t="n"/>
      <x:c r="H28" s="19" t="n"/>
      <x:c r="I28" s="20" t="n"/>
      <x:c r="J28" s="19" t="n"/>
      <x:c r="K28" s="25" t="n"/>
      <x:c r="L28" s="25" t="n"/>
      <x:c r="M28" s="18" t="str">
        <x:f>IF(AND(ISBLANK(K28),ISBLANK(L28)),"",IF(OR(ISBLANK(K28),ISBLANK(L28)),"Sem evidência",IF(COUNT(K28:L28)&lt;&gt;2,"Use valores numéricos",IF(R28="&gt;=",IF(L28&gt;=K28,"Atende","Não atende"),IF(R28="&lt;=",IF(L28&lt;=K28,"Atende","Não atende"),IF(R28="Exato",IF(L28=K28,"Atende","Não atende"),"Defina o critério"))))))</x:f>
      </x:c>
      <x:c r="N28" s="19" t="n"/>
      <x:c r="O28" s="20" t="n"/>
      <x:c r="P28" s="20" t="n"/>
      <x:c r="Q28" s="22" t="str">
        <x:f>IF(P28="","",P28-TODAY())</x:f>
      </x:c>
      <x:c r="R28" s="19"/>
    </x:row>
    <x:row r="29">
      <x:c r="A29" s="19" t="n"/>
      <x:c r="B29" s="19" t="n"/>
      <x:c r="C29" s="19" t="n"/>
      <x:c r="D29" s="19" t="n"/>
      <x:c r="E29" s="19" t="n"/>
      <x:c r="F29" s="19" t="n"/>
      <x:c r="G29" s="19" t="n"/>
      <x:c r="H29" s="19" t="n"/>
      <x:c r="I29" s="20" t="n"/>
      <x:c r="J29" s="19" t="n"/>
      <x:c r="K29" s="25" t="n"/>
      <x:c r="L29" s="25" t="n"/>
      <x:c r="M29" s="18" t="str">
        <x:f>IF(AND(ISBLANK(K29),ISBLANK(L29)),"",IF(OR(ISBLANK(K29),ISBLANK(L29)),"Sem evidência",IF(COUNT(K29:L29)&lt;&gt;2,"Use valores numéricos",IF(R29="&gt;=",IF(L29&gt;=K29,"Atende","Não atende"),IF(R29="&lt;=",IF(L29&lt;=K29,"Atende","Não atende"),IF(R29="Exato",IF(L29=K29,"Atende","Não atende"),"Defina o critério"))))))</x:f>
      </x:c>
      <x:c r="N29" s="19" t="n"/>
      <x:c r="O29" s="20" t="n"/>
      <x:c r="P29" s="20" t="n"/>
      <x:c r="Q29" s="22" t="str">
        <x:f>IF(P29="","",P29-TODAY())</x:f>
      </x:c>
      <x:c r="R29" s="19"/>
    </x:row>
    <x:row r="30">
      <x:c r="A30" s="19" t="n"/>
      <x:c r="B30" s="19" t="n"/>
      <x:c r="C30" s="19" t="n"/>
      <x:c r="D30" s="19" t="n"/>
      <x:c r="E30" s="19" t="n"/>
      <x:c r="F30" s="19" t="n"/>
      <x:c r="G30" s="19" t="n"/>
      <x:c r="H30" s="19" t="n"/>
      <x:c r="I30" s="20" t="n"/>
      <x:c r="J30" s="19" t="n"/>
      <x:c r="K30" s="25" t="n"/>
      <x:c r="L30" s="25" t="n"/>
      <x:c r="M30" s="18" t="str">
        <x:f>IF(AND(ISBLANK(K30),ISBLANK(L30)),"",IF(OR(ISBLANK(K30),ISBLANK(L30)),"Sem evidência",IF(COUNT(K30:L30)&lt;&gt;2,"Use valores numéricos",IF(R30="&gt;=",IF(L30&gt;=K30,"Atende","Não atende"),IF(R30="&lt;=",IF(L30&lt;=K30,"Atende","Não atende"),IF(R30="Exato",IF(L30=K30,"Atende","Não atende"),"Defina o critério"))))))</x:f>
      </x:c>
      <x:c r="N30" s="19" t="n"/>
      <x:c r="O30" s="20" t="n"/>
      <x:c r="P30" s="20" t="n"/>
      <x:c r="Q30" s="22" t="str">
        <x:f>IF(P30="","",P30-TODAY())</x:f>
      </x:c>
      <x:c r="R30" s="19"/>
    </x:row>
    <x:row r="31">
      <x:c r="A31" s="19" t="n"/>
      <x:c r="B31" s="19" t="n"/>
      <x:c r="C31" s="19" t="n"/>
      <x:c r="D31" s="19" t="n"/>
      <x:c r="E31" s="19" t="n"/>
      <x:c r="F31" s="19" t="n"/>
      <x:c r="G31" s="19" t="n"/>
      <x:c r="H31" s="19" t="n"/>
      <x:c r="I31" s="20" t="n"/>
      <x:c r="J31" s="19" t="n"/>
      <x:c r="K31" s="25" t="n"/>
      <x:c r="L31" s="25" t="n"/>
      <x:c r="M31" s="18" t="str">
        <x:f>IF(AND(ISBLANK(K31),ISBLANK(L31)),"",IF(OR(ISBLANK(K31),ISBLANK(L31)),"Sem evidência",IF(COUNT(K31:L31)&lt;&gt;2,"Use valores numéricos",IF(R31="&gt;=",IF(L31&gt;=K31,"Atende","Não atende"),IF(R31="&lt;=",IF(L31&lt;=K31,"Atende","Não atende"),IF(R31="Exato",IF(L31=K31,"Atende","Não atende"),"Defina o critério"))))))</x:f>
      </x:c>
      <x:c r="N31" s="19" t="n"/>
      <x:c r="O31" s="20" t="n"/>
      <x:c r="P31" s="20" t="n"/>
      <x:c r="Q31" s="22" t="str">
        <x:f>IF(P31="","",P31-TODAY())</x:f>
      </x:c>
      <x:c r="R31" s="19"/>
    </x:row>
    <x:row r="32">
      <x:c r="A32" s="19" t="n"/>
      <x:c r="B32" s="19" t="n"/>
      <x:c r="C32" s="19" t="n"/>
      <x:c r="D32" s="19" t="n"/>
      <x:c r="E32" s="19" t="n"/>
      <x:c r="F32" s="19" t="n"/>
      <x:c r="G32" s="19" t="n"/>
      <x:c r="H32" s="19" t="n"/>
      <x:c r="I32" s="20" t="n"/>
      <x:c r="J32" s="19" t="n"/>
      <x:c r="K32" s="25" t="n"/>
      <x:c r="L32" s="25" t="n"/>
      <x:c r="M32" s="18" t="str">
        <x:f>IF(AND(ISBLANK(K32),ISBLANK(L32)),"",IF(OR(ISBLANK(K32),ISBLANK(L32)),"Sem evidência",IF(COUNT(K32:L32)&lt;&gt;2,"Use valores numéricos",IF(R32="&gt;=",IF(L32&gt;=K32,"Atende","Não atende"),IF(R32="&lt;=",IF(L32&lt;=K32,"Atende","Não atende"),IF(R32="Exato",IF(L32=K32,"Atende","Não atende"),"Defina o critério"))))))</x:f>
      </x:c>
      <x:c r="N32" s="19" t="n"/>
      <x:c r="O32" s="20" t="n"/>
      <x:c r="P32" s="20" t="n"/>
      <x:c r="Q32" s="22" t="str">
        <x:f>IF(P32="","",P32-TODAY())</x:f>
      </x:c>
      <x:c r="R32" s="19"/>
    </x:row>
    <x:row r="33">
      <x:c r="A33" s="19" t="n"/>
      <x:c r="B33" s="19" t="n"/>
      <x:c r="C33" s="19" t="n"/>
      <x:c r="D33" s="19" t="n"/>
      <x:c r="E33" s="19" t="n"/>
      <x:c r="F33" s="19" t="n"/>
      <x:c r="G33" s="19" t="n"/>
      <x:c r="H33" s="19" t="n"/>
      <x:c r="I33" s="20" t="n"/>
      <x:c r="J33" s="19" t="n"/>
      <x:c r="K33" s="25" t="n"/>
      <x:c r="L33" s="25" t="n"/>
      <x:c r="M33" s="18" t="str">
        <x:f>IF(AND(ISBLANK(K33),ISBLANK(L33)),"",IF(OR(ISBLANK(K33),ISBLANK(L33)),"Sem evidência",IF(COUNT(K33:L33)&lt;&gt;2,"Use valores numéricos",IF(R33="&gt;=",IF(L33&gt;=K33,"Atende","Não atende"),IF(R33="&lt;=",IF(L33&lt;=K33,"Atende","Não atende"),IF(R33="Exato",IF(L33=K33,"Atende","Não atende"),"Defina o critério"))))))</x:f>
      </x:c>
      <x:c r="N33" s="19" t="n"/>
      <x:c r="O33" s="20" t="n"/>
      <x:c r="P33" s="20" t="n"/>
      <x:c r="Q33" s="22" t="str">
        <x:f>IF(P33="","",P33-TODAY())</x:f>
      </x:c>
      <x:c r="R33" s="19"/>
    </x:row>
    <x:row r="34">
      <x:c r="A34" s="19" t="n"/>
      <x:c r="B34" s="19" t="n"/>
      <x:c r="C34" s="19" t="n"/>
      <x:c r="D34" s="19" t="n"/>
      <x:c r="E34" s="19" t="n"/>
      <x:c r="F34" s="19" t="n"/>
      <x:c r="G34" s="19" t="n"/>
      <x:c r="H34" s="19" t="n"/>
      <x:c r="I34" s="20" t="n"/>
      <x:c r="J34" s="19" t="n"/>
      <x:c r="K34" s="25" t="n"/>
      <x:c r="L34" s="25" t="n"/>
      <x:c r="M34" s="18" t="str">
        <x:f>IF(AND(ISBLANK(K34),ISBLANK(L34)),"",IF(OR(ISBLANK(K34),ISBLANK(L34)),"Sem evidência",IF(COUNT(K34:L34)&lt;&gt;2,"Use valores numéricos",IF(R34="&gt;=",IF(L34&gt;=K34,"Atende","Não atende"),IF(R34="&lt;=",IF(L34&lt;=K34,"Atende","Não atende"),IF(R34="Exato",IF(L34=K34,"Atende","Não atende"),"Defina o critério"))))))</x:f>
      </x:c>
      <x:c r="N34" s="19" t="n"/>
      <x:c r="O34" s="20" t="n"/>
      <x:c r="P34" s="20" t="n"/>
      <x:c r="Q34" s="22" t="str">
        <x:f>IF(P34="","",P34-TODAY())</x:f>
      </x:c>
      <x:c r="R34" s="19"/>
    </x:row>
    <x:row r="35">
      <x:c r="A35" s="19" t="n"/>
      <x:c r="B35" s="19" t="n"/>
      <x:c r="C35" s="19" t="n"/>
      <x:c r="D35" s="19" t="n"/>
      <x:c r="E35" s="19" t="n"/>
      <x:c r="F35" s="19" t="n"/>
      <x:c r="G35" s="19" t="n"/>
      <x:c r="H35" s="19" t="n"/>
      <x:c r="I35" s="20" t="n"/>
      <x:c r="J35" s="19" t="n"/>
      <x:c r="K35" s="25" t="n"/>
      <x:c r="L35" s="25" t="n"/>
      <x:c r="M35" s="18" t="str">
        <x:f>IF(AND(ISBLANK(K35),ISBLANK(L35)),"",IF(OR(ISBLANK(K35),ISBLANK(L35)),"Sem evidência",IF(COUNT(K35:L35)&lt;&gt;2,"Use valores numéricos",IF(R35="&gt;=",IF(L35&gt;=K35,"Atende","Não atende"),IF(R35="&lt;=",IF(L35&lt;=K35,"Atende","Não atende"),IF(R35="Exato",IF(L35=K35,"Atende","Não atende"),"Defina o critério"))))))</x:f>
      </x:c>
      <x:c r="N35" s="19" t="n"/>
      <x:c r="O35" s="20" t="n"/>
      <x:c r="P35" s="20" t="n"/>
      <x:c r="Q35" s="22" t="str">
        <x:f>IF(P35="","",P35-TODAY())</x:f>
      </x:c>
      <x:c r="R35" s="19"/>
    </x:row>
    <x:row r="36">
      <x:c r="A36" s="19" t="n"/>
      <x:c r="B36" s="19" t="n"/>
      <x:c r="C36" s="19" t="n"/>
      <x:c r="D36" s="19" t="n"/>
      <x:c r="E36" s="19" t="n"/>
      <x:c r="F36" s="19" t="n"/>
      <x:c r="G36" s="19" t="n"/>
      <x:c r="H36" s="19" t="n"/>
      <x:c r="I36" s="20" t="n"/>
      <x:c r="J36" s="19" t="n"/>
      <x:c r="K36" s="25" t="n"/>
      <x:c r="L36" s="25" t="n"/>
      <x:c r="M36" s="18" t="str">
        <x:f>IF(AND(ISBLANK(K36),ISBLANK(L36)),"",IF(OR(ISBLANK(K36),ISBLANK(L36)),"Sem evidência",IF(COUNT(K36:L36)&lt;&gt;2,"Use valores numéricos",IF(R36="&gt;=",IF(L36&gt;=K36,"Atende","Não atende"),IF(R36="&lt;=",IF(L36&lt;=K36,"Atende","Não atende"),IF(R36="Exato",IF(L36=K36,"Atende","Não atende"),"Defina o critério"))))))</x:f>
      </x:c>
      <x:c r="N36" s="19" t="n"/>
      <x:c r="O36" s="20" t="n"/>
      <x:c r="P36" s="20" t="n"/>
      <x:c r="Q36" s="22" t="str">
        <x:f>IF(P36="","",P36-TODAY())</x:f>
      </x:c>
      <x:c r="R36" s="19"/>
    </x:row>
    <x:row r="37">
      <x:c r="A37" s="19" t="n"/>
      <x:c r="B37" s="19" t="n"/>
      <x:c r="C37" s="19" t="n"/>
      <x:c r="D37" s="19" t="n"/>
      <x:c r="E37" s="19" t="n"/>
      <x:c r="F37" s="19" t="n"/>
      <x:c r="G37" s="19" t="n"/>
      <x:c r="H37" s="19" t="n"/>
      <x:c r="I37" s="20" t="n"/>
      <x:c r="J37" s="19" t="n"/>
      <x:c r="K37" s="25" t="n"/>
      <x:c r="L37" s="25" t="n"/>
      <x:c r="M37" s="18" t="str">
        <x:f>IF(AND(ISBLANK(K37),ISBLANK(L37)),"",IF(OR(ISBLANK(K37),ISBLANK(L37)),"Sem evidência",IF(COUNT(K37:L37)&lt;&gt;2,"Use valores numéricos",IF(R37="&gt;=",IF(L37&gt;=K37,"Atende","Não atende"),IF(R37="&lt;=",IF(L37&lt;=K37,"Atende","Não atende"),IF(R37="Exato",IF(L37=K37,"Atende","Não atende"),"Defina o critério"))))))</x:f>
      </x:c>
      <x:c r="N37" s="19" t="n"/>
      <x:c r="O37" s="20" t="n"/>
      <x:c r="P37" s="20" t="n"/>
      <x:c r="Q37" s="22" t="str">
        <x:f>IF(P37="","",P37-TODAY())</x:f>
      </x:c>
      <x:c r="R37" s="19"/>
    </x:row>
    <x:row r="38">
      <x:c r="A38" s="19" t="n"/>
      <x:c r="B38" s="19" t="n"/>
      <x:c r="C38" s="19" t="n"/>
      <x:c r="D38" s="19" t="n"/>
      <x:c r="E38" s="19" t="n"/>
      <x:c r="F38" s="19" t="n"/>
      <x:c r="G38" s="19" t="n"/>
      <x:c r="H38" s="19" t="n"/>
      <x:c r="I38" s="20" t="n"/>
      <x:c r="J38" s="19" t="n"/>
      <x:c r="K38" s="25" t="n"/>
      <x:c r="L38" s="25" t="n"/>
      <x:c r="M38" s="18" t="str">
        <x:f>IF(AND(ISBLANK(K38),ISBLANK(L38)),"",IF(OR(ISBLANK(K38),ISBLANK(L38)),"Sem evidência",IF(COUNT(K38:L38)&lt;&gt;2,"Use valores numéricos",IF(R38="&gt;=",IF(L38&gt;=K38,"Atende","Não atende"),IF(R38="&lt;=",IF(L38&lt;=K38,"Atende","Não atende"),IF(R38="Exato",IF(L38=K38,"Atende","Não atende"),"Defina o critério"))))))</x:f>
      </x:c>
      <x:c r="N38" s="19" t="n"/>
      <x:c r="O38" s="20" t="n"/>
      <x:c r="P38" s="20" t="n"/>
      <x:c r="Q38" s="22" t="str">
        <x:f>IF(P38="","",P38-TODAY())</x:f>
      </x:c>
      <x:c r="R38" s="19"/>
    </x:row>
    <x:row r="39">
      <x:c r="A39" s="19" t="n"/>
      <x:c r="B39" s="19" t="n"/>
      <x:c r="C39" s="19" t="n"/>
      <x:c r="D39" s="19" t="n"/>
      <x:c r="E39" s="19" t="n"/>
      <x:c r="F39" s="19" t="n"/>
      <x:c r="G39" s="19" t="n"/>
      <x:c r="H39" s="19" t="n"/>
      <x:c r="I39" s="20" t="n"/>
      <x:c r="J39" s="19" t="n"/>
      <x:c r="K39" s="25" t="n"/>
      <x:c r="L39" s="25" t="n"/>
      <x:c r="M39" s="18" t="str">
        <x:f>IF(AND(ISBLANK(K39),ISBLANK(L39)),"",IF(OR(ISBLANK(K39),ISBLANK(L39)),"Sem evidência",IF(COUNT(K39:L39)&lt;&gt;2,"Use valores numéricos",IF(R39="&gt;=",IF(L39&gt;=K39,"Atende","Não atende"),IF(R39="&lt;=",IF(L39&lt;=K39,"Atende","Não atende"),IF(R39="Exato",IF(L39=K39,"Atende","Não atende"),"Defina o critério"))))))</x:f>
      </x:c>
      <x:c r="N39" s="19" t="n"/>
      <x:c r="O39" s="20" t="n"/>
      <x:c r="P39" s="20" t="n"/>
      <x:c r="Q39" s="22" t="str">
        <x:f>IF(P39="","",P39-TODAY())</x:f>
      </x:c>
      <x:c r="R39" s="19"/>
    </x:row>
    <x:row r="40">
      <x:c r="A40" s="19" t="n"/>
      <x:c r="B40" s="19" t="n"/>
      <x:c r="C40" s="19" t="n"/>
      <x:c r="D40" s="19" t="n"/>
      <x:c r="E40" s="19" t="n"/>
      <x:c r="F40" s="19" t="n"/>
      <x:c r="G40" s="19" t="n"/>
      <x:c r="H40" s="19" t="n"/>
      <x:c r="I40" s="20" t="n"/>
      <x:c r="J40" s="19" t="n"/>
      <x:c r="K40" s="25" t="n"/>
      <x:c r="L40" s="25" t="n"/>
      <x:c r="M40" s="18" t="str">
        <x:f>IF(AND(ISBLANK(K40),ISBLANK(L40)),"",IF(OR(ISBLANK(K40),ISBLANK(L40)),"Sem evidência",IF(COUNT(K40:L40)&lt;&gt;2,"Use valores numéricos",IF(R40="&gt;=",IF(L40&gt;=K40,"Atende","Não atende"),IF(R40="&lt;=",IF(L40&lt;=K40,"Atende","Não atende"),IF(R40="Exato",IF(L40=K40,"Atende","Não atende"),"Defina o critério"))))))</x:f>
      </x:c>
      <x:c r="N40" s="19" t="n"/>
      <x:c r="O40" s="20" t="n"/>
      <x:c r="P40" s="20" t="n"/>
      <x:c r="Q40" s="22" t="str">
        <x:f>IF(P40="","",P40-TODAY())</x:f>
      </x:c>
      <x:c r="R40" s="19"/>
    </x:row>
    <x:row r="41">
      <x:c r="A41" s="19" t="n"/>
      <x:c r="B41" s="19" t="n"/>
      <x:c r="C41" s="19" t="n"/>
      <x:c r="D41" s="19" t="n"/>
      <x:c r="E41" s="19" t="n"/>
      <x:c r="F41" s="19" t="n"/>
      <x:c r="G41" s="19" t="n"/>
      <x:c r="H41" s="19" t="n"/>
      <x:c r="I41" s="20" t="n"/>
      <x:c r="J41" s="19" t="n"/>
      <x:c r="K41" s="25" t="n"/>
      <x:c r="L41" s="25" t="n"/>
      <x:c r="M41" s="18" t="str">
        <x:f>IF(AND(ISBLANK(K41),ISBLANK(L41)),"",IF(OR(ISBLANK(K41),ISBLANK(L41)),"Sem evidência",IF(COUNT(K41:L41)&lt;&gt;2,"Use valores numéricos",IF(R41="&gt;=",IF(L41&gt;=K41,"Atende","Não atende"),IF(R41="&lt;=",IF(L41&lt;=K41,"Atende","Não atende"),IF(R41="Exato",IF(L41=K41,"Atende","Não atende"),"Defina o critério"))))))</x:f>
      </x:c>
      <x:c r="N41" s="19" t="n"/>
      <x:c r="O41" s="20" t="n"/>
      <x:c r="P41" s="20" t="n"/>
      <x:c r="Q41" s="22" t="str">
        <x:f>IF(P41="","",P41-TODAY())</x:f>
      </x:c>
      <x:c r="R41" s="19"/>
    </x:row>
    <x:row r="42">
      <x:c r="A42" s="19" t="n"/>
      <x:c r="B42" s="19" t="n"/>
      <x:c r="C42" s="19" t="n"/>
      <x:c r="D42" s="19" t="n"/>
      <x:c r="E42" s="19" t="n"/>
      <x:c r="F42" s="19" t="n"/>
      <x:c r="G42" s="19" t="n"/>
      <x:c r="H42" s="19" t="n"/>
      <x:c r="I42" s="20" t="n"/>
      <x:c r="J42" s="19" t="n"/>
      <x:c r="K42" s="25" t="n"/>
      <x:c r="L42" s="25" t="n"/>
      <x:c r="M42" s="18" t="str">
        <x:f>IF(AND(ISBLANK(K42),ISBLANK(L42)),"",IF(OR(ISBLANK(K42),ISBLANK(L42)),"Sem evidência",IF(COUNT(K42:L42)&lt;&gt;2,"Use valores numéricos",IF(R42="&gt;=",IF(L42&gt;=K42,"Atende","Não atende"),IF(R42="&lt;=",IF(L42&lt;=K42,"Atende","Não atende"),IF(R42="Exato",IF(L42=K42,"Atende","Não atende"),"Defina o critério"))))))</x:f>
      </x:c>
      <x:c r="N42" s="19" t="n"/>
      <x:c r="O42" s="20" t="n"/>
      <x:c r="P42" s="20" t="n"/>
      <x:c r="Q42" s="22" t="str">
        <x:f>IF(P42="","",P42-TODAY())</x:f>
      </x:c>
      <x:c r="R42" s="19"/>
    </x:row>
    <x:row r="43">
      <x:c r="A43" s="19" t="n"/>
      <x:c r="B43" s="19" t="n"/>
      <x:c r="C43" s="19" t="n"/>
      <x:c r="D43" s="19" t="n"/>
      <x:c r="E43" s="19" t="n"/>
      <x:c r="F43" s="19" t="n"/>
      <x:c r="G43" s="19" t="n"/>
      <x:c r="H43" s="19" t="n"/>
      <x:c r="I43" s="20" t="n"/>
      <x:c r="J43" s="19" t="n"/>
      <x:c r="K43" s="25" t="n"/>
      <x:c r="L43" s="25" t="n"/>
      <x:c r="M43" s="18" t="str">
        <x:f>IF(AND(ISBLANK(K43),ISBLANK(L43)),"",IF(OR(ISBLANK(K43),ISBLANK(L43)),"Sem evidência",IF(COUNT(K43:L43)&lt;&gt;2,"Use valores numéricos",IF(R43="&gt;=",IF(L43&gt;=K43,"Atende","Não atende"),IF(R43="&lt;=",IF(L43&lt;=K43,"Atende","Não atende"),IF(R43="Exato",IF(L43=K43,"Atende","Não atende"),"Defina o critério"))))))</x:f>
      </x:c>
      <x:c r="N43" s="19" t="n"/>
      <x:c r="O43" s="20" t="n"/>
      <x:c r="P43" s="20" t="n"/>
      <x:c r="Q43" s="22" t="str">
        <x:f>IF(P43="","",P43-TODAY())</x:f>
      </x:c>
      <x:c r="R43" s="19"/>
    </x:row>
    <x:row r="44">
      <x:c r="A44" s="19" t="n"/>
      <x:c r="B44" s="19" t="n"/>
      <x:c r="C44" s="19" t="n"/>
      <x:c r="D44" s="19" t="n"/>
      <x:c r="E44" s="19" t="n"/>
      <x:c r="F44" s="19" t="n"/>
      <x:c r="G44" s="19" t="n"/>
      <x:c r="H44" s="19" t="n"/>
      <x:c r="I44" s="20" t="n"/>
      <x:c r="J44" s="19" t="n"/>
      <x:c r="K44" s="25" t="n"/>
      <x:c r="L44" s="25" t="n"/>
      <x:c r="M44" s="18" t="str">
        <x:f>IF(AND(ISBLANK(K44),ISBLANK(L44)),"",IF(OR(ISBLANK(K44),ISBLANK(L44)),"Sem evidência",IF(COUNT(K44:L44)&lt;&gt;2,"Use valores numéricos",IF(R44="&gt;=",IF(L44&gt;=K44,"Atende","Não atende"),IF(R44="&lt;=",IF(L44&lt;=K44,"Atende","Não atende"),IF(R44="Exato",IF(L44=K44,"Atende","Não atende"),"Defina o critério"))))))</x:f>
      </x:c>
      <x:c r="N44" s="19" t="n"/>
      <x:c r="O44" s="20" t="n"/>
      <x:c r="P44" s="20" t="n"/>
      <x:c r="Q44" s="22" t="str">
        <x:f>IF(P44="","",P44-TODAY())</x:f>
      </x:c>
      <x:c r="R44" s="19"/>
    </x:row>
    <x:row r="45">
      <x:c r="A45" s="19" t="n"/>
      <x:c r="B45" s="19" t="n"/>
      <x:c r="C45" s="19" t="n"/>
      <x:c r="D45" s="19" t="n"/>
      <x:c r="E45" s="19" t="n"/>
      <x:c r="F45" s="19" t="n"/>
      <x:c r="G45" s="19" t="n"/>
      <x:c r="H45" s="19" t="n"/>
      <x:c r="I45" s="20" t="n"/>
      <x:c r="J45" s="19" t="n"/>
      <x:c r="K45" s="25" t="n"/>
      <x:c r="L45" s="25" t="n"/>
      <x:c r="M45" s="18" t="str">
        <x:f>IF(AND(ISBLANK(K45),ISBLANK(L45)),"",IF(OR(ISBLANK(K45),ISBLANK(L45)),"Sem evidência",IF(COUNT(K45:L45)&lt;&gt;2,"Use valores numéricos",IF(R45="&gt;=",IF(L45&gt;=K45,"Atende","Não atende"),IF(R45="&lt;=",IF(L45&lt;=K45,"Atende","Não atende"),IF(R45="Exato",IF(L45=K45,"Atende","Não atende"),"Defina o critério"))))))</x:f>
      </x:c>
      <x:c r="N45" s="19" t="n"/>
      <x:c r="O45" s="20" t="n"/>
      <x:c r="P45" s="20" t="n"/>
      <x:c r="Q45" s="22" t="str">
        <x:f>IF(P45="","",P45-TODAY())</x:f>
      </x:c>
      <x:c r="R45" s="19"/>
    </x:row>
    <x:row r="46">
      <x:c r="A46" s="19" t="n"/>
      <x:c r="B46" s="19" t="n"/>
      <x:c r="C46" s="19" t="n"/>
      <x:c r="D46" s="19" t="n"/>
      <x:c r="E46" s="19" t="n"/>
      <x:c r="F46" s="19" t="n"/>
      <x:c r="G46" s="19" t="n"/>
      <x:c r="H46" s="19" t="n"/>
      <x:c r="I46" s="20" t="n"/>
      <x:c r="J46" s="19" t="n"/>
      <x:c r="K46" s="25" t="n"/>
      <x:c r="L46" s="25" t="n"/>
      <x:c r="M46" s="18" t="str">
        <x:f>IF(AND(ISBLANK(K46),ISBLANK(L46)),"",IF(OR(ISBLANK(K46),ISBLANK(L46)),"Sem evidência",IF(COUNT(K46:L46)&lt;&gt;2,"Use valores numéricos",IF(R46="&gt;=",IF(L46&gt;=K46,"Atende","Não atende"),IF(R46="&lt;=",IF(L46&lt;=K46,"Atende","Não atende"),IF(R46="Exato",IF(L46=K46,"Atende","Não atende"),"Defina o critério"))))))</x:f>
      </x:c>
      <x:c r="N46" s="19" t="n"/>
      <x:c r="O46" s="20" t="n"/>
      <x:c r="P46" s="20" t="n"/>
      <x:c r="Q46" s="22" t="str">
        <x:f>IF(P46="","",P46-TODAY())</x:f>
      </x:c>
      <x:c r="R46" s="19"/>
    </x:row>
    <x:row r="47">
      <x:c r="A47" s="19" t="n"/>
      <x:c r="B47" s="19" t="n"/>
      <x:c r="C47" s="19" t="n"/>
      <x:c r="D47" s="19" t="n"/>
      <x:c r="E47" s="19" t="n"/>
      <x:c r="F47" s="19" t="n"/>
      <x:c r="G47" s="19" t="n"/>
      <x:c r="H47" s="19" t="n"/>
      <x:c r="I47" s="20" t="n"/>
      <x:c r="J47" s="19" t="n"/>
      <x:c r="K47" s="25" t="n"/>
      <x:c r="L47" s="25" t="n"/>
      <x:c r="M47" s="18" t="str">
        <x:f>IF(AND(ISBLANK(K47),ISBLANK(L47)),"",IF(OR(ISBLANK(K47),ISBLANK(L47)),"Sem evidência",IF(COUNT(K47:L47)&lt;&gt;2,"Use valores numéricos",IF(R47="&gt;=",IF(L47&gt;=K47,"Atende","Não atende"),IF(R47="&lt;=",IF(L47&lt;=K47,"Atende","Não atende"),IF(R47="Exato",IF(L47=K47,"Atende","Não atende"),"Defina o critério"))))))</x:f>
      </x:c>
      <x:c r="N47" s="19" t="n"/>
      <x:c r="O47" s="20" t="n"/>
      <x:c r="P47" s="20" t="n"/>
      <x:c r="Q47" s="22" t="str">
        <x:f>IF(P47="","",P47-TODAY())</x:f>
      </x:c>
      <x:c r="R47" s="19"/>
    </x:row>
    <x:row r="48">
      <x:c r="A48" s="19" t="n"/>
      <x:c r="B48" s="19" t="n"/>
      <x:c r="C48" s="19" t="n"/>
      <x:c r="D48" s="19" t="n"/>
      <x:c r="E48" s="19" t="n"/>
      <x:c r="F48" s="19" t="n"/>
      <x:c r="G48" s="19" t="n"/>
      <x:c r="H48" s="19" t="n"/>
      <x:c r="I48" s="20" t="n"/>
      <x:c r="J48" s="19" t="n"/>
      <x:c r="K48" s="25" t="n"/>
      <x:c r="L48" s="25" t="n"/>
      <x:c r="M48" s="18" t="str">
        <x:f>IF(AND(ISBLANK(K48),ISBLANK(L48)),"",IF(OR(ISBLANK(K48),ISBLANK(L48)),"Sem evidência",IF(COUNT(K48:L48)&lt;&gt;2,"Use valores numéricos",IF(R48="&gt;=",IF(L48&gt;=K48,"Atende","Não atende"),IF(R48="&lt;=",IF(L48&lt;=K48,"Atende","Não atende"),IF(R48="Exato",IF(L48=K48,"Atende","Não atende"),"Defina o critério"))))))</x:f>
      </x:c>
      <x:c r="N48" s="19" t="n"/>
      <x:c r="O48" s="20" t="n"/>
      <x:c r="P48" s="20" t="n"/>
      <x:c r="Q48" s="22" t="str">
        <x:f>IF(P48="","",P48-TODAY())</x:f>
      </x:c>
      <x:c r="R48" s="19"/>
    </x:row>
    <x:row r="49">
      <x:c r="A49" s="19" t="n"/>
      <x:c r="B49" s="19" t="n"/>
      <x:c r="C49" s="19" t="n"/>
      <x:c r="D49" s="19" t="n"/>
      <x:c r="E49" s="19" t="n"/>
      <x:c r="F49" s="19" t="n"/>
      <x:c r="G49" s="19" t="n"/>
      <x:c r="H49" s="19" t="n"/>
      <x:c r="I49" s="20" t="n"/>
      <x:c r="J49" s="19" t="n"/>
      <x:c r="K49" s="25" t="n"/>
      <x:c r="L49" s="25" t="n"/>
      <x:c r="M49" s="18" t="str">
        <x:f>IF(AND(ISBLANK(K49),ISBLANK(L49)),"",IF(OR(ISBLANK(K49),ISBLANK(L49)),"Sem evidência",IF(COUNT(K49:L49)&lt;&gt;2,"Use valores numéricos",IF(R49="&gt;=",IF(L49&gt;=K49,"Atende","Não atende"),IF(R49="&lt;=",IF(L49&lt;=K49,"Atende","Não atende"),IF(R49="Exato",IF(L49=K49,"Atende","Não atende"),"Defina o critério"))))))</x:f>
      </x:c>
      <x:c r="N49" s="19" t="n"/>
      <x:c r="O49" s="20" t="n"/>
      <x:c r="P49" s="20" t="n"/>
      <x:c r="Q49" s="22" t="str">
        <x:f>IF(P49="","",P49-TODAY())</x:f>
      </x:c>
      <x:c r="R49" s="19"/>
    </x:row>
    <x:row r="50">
      <x:c r="A50" s="19" t="n"/>
      <x:c r="B50" s="19" t="n"/>
      <x:c r="C50" s="19" t="n"/>
      <x:c r="D50" s="19" t="n"/>
      <x:c r="E50" s="19" t="n"/>
      <x:c r="F50" s="19" t="n"/>
      <x:c r="G50" s="19" t="n"/>
      <x:c r="H50" s="19" t="n"/>
      <x:c r="I50" s="20" t="n"/>
      <x:c r="J50" s="19" t="n"/>
      <x:c r="K50" s="25" t="n"/>
      <x:c r="L50" s="25" t="n"/>
      <x:c r="M50" s="18" t="str">
        <x:f>IF(AND(ISBLANK(K50),ISBLANK(L50)),"",IF(OR(ISBLANK(K50),ISBLANK(L50)),"Sem evidência",IF(COUNT(K50:L50)&lt;&gt;2,"Use valores numéricos",IF(R50="&gt;=",IF(L50&gt;=K50,"Atende","Não atende"),IF(R50="&lt;=",IF(L50&lt;=K50,"Atende","Não atende"),IF(R50="Exato",IF(L50=K50,"Atende","Não atende"),"Defina o critério"))))))</x:f>
      </x:c>
      <x:c r="N50" s="19" t="n"/>
      <x:c r="O50" s="20" t="n"/>
      <x:c r="P50" s="20" t="n"/>
      <x:c r="Q50" s="22" t="str">
        <x:f>IF(P50="","",P50-TODAY())</x:f>
      </x:c>
      <x:c r="R50" s="19"/>
    </x:row>
    <x:row r="51">
      <x:c r="A51" s="19" t="n"/>
      <x:c r="B51" s="19" t="n"/>
      <x:c r="C51" s="19" t="n"/>
      <x:c r="D51" s="19" t="n"/>
      <x:c r="E51" s="19" t="n"/>
      <x:c r="F51" s="19" t="n"/>
      <x:c r="G51" s="19" t="n"/>
      <x:c r="H51" s="19" t="n"/>
      <x:c r="I51" s="20" t="n"/>
      <x:c r="J51" s="19" t="n"/>
      <x:c r="K51" s="25" t="n"/>
      <x:c r="L51" s="25" t="n"/>
      <x:c r="M51" s="18" t="str">
        <x:f>IF(AND(ISBLANK(K51),ISBLANK(L51)),"",IF(OR(ISBLANK(K51),ISBLANK(L51)),"Sem evidência",IF(COUNT(K51:L51)&lt;&gt;2,"Use valores numéricos",IF(R51="&gt;=",IF(L51&gt;=K51,"Atende","Não atende"),IF(R51="&lt;=",IF(L51&lt;=K51,"Atende","Não atende"),IF(R51="Exato",IF(L51=K51,"Atende","Não atende"),"Defina o critério"))))))</x:f>
      </x:c>
      <x:c r="N51" s="19" t="n"/>
      <x:c r="O51" s="20" t="n"/>
      <x:c r="P51" s="20" t="n"/>
      <x:c r="Q51" s="22" t="str">
        <x:f>IF(P51="","",P51-TODAY())</x:f>
      </x:c>
      <x:c r="R51" s="19"/>
    </x:row>
    <x:row r="52">
      <x:c r="A52" s="19" t="n"/>
      <x:c r="B52" s="19" t="n"/>
      <x:c r="C52" s="19" t="n"/>
      <x:c r="D52" s="19" t="n"/>
      <x:c r="E52" s="19" t="n"/>
      <x:c r="F52" s="19" t="n"/>
      <x:c r="G52" s="19" t="n"/>
      <x:c r="H52" s="19" t="n"/>
      <x:c r="I52" s="20" t="n"/>
      <x:c r="J52" s="19" t="n"/>
      <x:c r="K52" s="25" t="n"/>
      <x:c r="L52" s="25" t="n"/>
      <x:c r="M52" s="18" t="str">
        <x:f>IF(AND(ISBLANK(K52),ISBLANK(L52)),"",IF(OR(ISBLANK(K52),ISBLANK(L52)),"Sem evidência",IF(COUNT(K52:L52)&lt;&gt;2,"Use valores numéricos",IF(R52="&gt;=",IF(L52&gt;=K52,"Atende","Não atende"),IF(R52="&lt;=",IF(L52&lt;=K52,"Atende","Não atende"),IF(R52="Exato",IF(L52=K52,"Atende","Não atende"),"Defina o critério"))))))</x:f>
      </x:c>
      <x:c r="N52" s="19" t="n"/>
      <x:c r="O52" s="20" t="n"/>
      <x:c r="P52" s="20" t="n"/>
      <x:c r="Q52" s="22" t="str">
        <x:f>IF(P52="","",P52-TODAY())</x:f>
      </x:c>
      <x:c r="R52" s="19"/>
    </x:row>
    <x:row r="53">
      <x:c r="A53" s="19" t="n"/>
      <x:c r="B53" s="19" t="n"/>
      <x:c r="C53" s="19" t="n"/>
      <x:c r="D53" s="19" t="n"/>
      <x:c r="E53" s="19" t="n"/>
      <x:c r="F53" s="19" t="n"/>
      <x:c r="G53" s="19" t="n"/>
      <x:c r="H53" s="19" t="n"/>
      <x:c r="I53" s="20" t="n"/>
      <x:c r="J53" s="19" t="n"/>
      <x:c r="K53" s="25" t="n"/>
      <x:c r="L53" s="25" t="n"/>
      <x:c r="M53" s="18" t="str">
        <x:f>IF(AND(ISBLANK(K53),ISBLANK(L53)),"",IF(OR(ISBLANK(K53),ISBLANK(L53)),"Sem evidência",IF(COUNT(K53:L53)&lt;&gt;2,"Use valores numéricos",IF(R53="&gt;=",IF(L53&gt;=K53,"Atende","Não atende"),IF(R53="&lt;=",IF(L53&lt;=K53,"Atende","Não atende"),IF(R53="Exato",IF(L53=K53,"Atende","Não atende"),"Defina o critério"))))))</x:f>
      </x:c>
      <x:c r="N53" s="19" t="n"/>
      <x:c r="O53" s="20" t="n"/>
      <x:c r="P53" s="20" t="n"/>
      <x:c r="Q53" s="22" t="str">
        <x:f>IF(P53="","",P53-TODAY())</x:f>
      </x:c>
      <x:c r="R53" s="19"/>
    </x:row>
    <x:row r="54">
      <x:c r="A54" s="19" t="n"/>
      <x:c r="B54" s="19" t="n"/>
      <x:c r="C54" s="19" t="n"/>
      <x:c r="D54" s="19" t="n"/>
      <x:c r="E54" s="19" t="n"/>
      <x:c r="F54" s="19" t="n"/>
      <x:c r="G54" s="19" t="n"/>
      <x:c r="H54" s="19" t="n"/>
      <x:c r="I54" s="20" t="n"/>
      <x:c r="J54" s="19" t="n"/>
      <x:c r="K54" s="25" t="n"/>
      <x:c r="L54" s="25" t="n"/>
      <x:c r="M54" s="18" t="str">
        <x:f>IF(AND(ISBLANK(K54),ISBLANK(L54)),"",IF(OR(ISBLANK(K54),ISBLANK(L54)),"Sem evidência",IF(COUNT(K54:L54)&lt;&gt;2,"Use valores numéricos",IF(R54="&gt;=",IF(L54&gt;=K54,"Atende","Não atende"),IF(R54="&lt;=",IF(L54&lt;=K54,"Atende","Não atende"),IF(R54="Exato",IF(L54=K54,"Atende","Não atende"),"Defina o critério"))))))</x:f>
      </x:c>
      <x:c r="N54" s="19" t="n"/>
      <x:c r="O54" s="20" t="n"/>
      <x:c r="P54" s="20" t="n"/>
      <x:c r="Q54" s="22" t="str">
        <x:f>IF(P54="","",P54-TODAY())</x:f>
      </x:c>
      <x:c r="R54" s="19"/>
    </x:row>
    <x:row r="55">
      <x:c r="A55" s="19" t="n"/>
      <x:c r="B55" s="19" t="n"/>
      <x:c r="C55" s="19" t="n"/>
      <x:c r="D55" s="19" t="n"/>
      <x:c r="E55" s="19" t="n"/>
      <x:c r="F55" s="19" t="n"/>
      <x:c r="G55" s="19" t="n"/>
      <x:c r="H55" s="19" t="n"/>
      <x:c r="I55" s="20" t="n"/>
      <x:c r="J55" s="19" t="n"/>
      <x:c r="K55" s="25" t="n"/>
      <x:c r="L55" s="25" t="n"/>
      <x:c r="M55" s="18" t="str">
        <x:f>IF(AND(ISBLANK(K55),ISBLANK(L55)),"",IF(OR(ISBLANK(K55),ISBLANK(L55)),"Sem evidência",IF(COUNT(K55:L55)&lt;&gt;2,"Use valores numéricos",IF(R55="&gt;=",IF(L55&gt;=K55,"Atende","Não atende"),IF(R55="&lt;=",IF(L55&lt;=K55,"Atende","Não atende"),IF(R55="Exato",IF(L55=K55,"Atende","Não atende"),"Defina o critério"))))))</x:f>
      </x:c>
      <x:c r="N55" s="19" t="n"/>
      <x:c r="O55" s="20" t="n"/>
      <x:c r="P55" s="20" t="n"/>
      <x:c r="Q55" s="22" t="str">
        <x:f>IF(P55="","",P55-TODAY())</x:f>
      </x:c>
      <x:c r="R55" s="19"/>
    </x:row>
    <x:row r="56">
      <x:c r="A56" s="19" t="n"/>
      <x:c r="B56" s="19" t="n"/>
      <x:c r="C56" s="19" t="n"/>
      <x:c r="D56" s="19" t="n"/>
      <x:c r="E56" s="19" t="n"/>
      <x:c r="F56" s="19" t="n"/>
      <x:c r="G56" s="19" t="n"/>
      <x:c r="H56" s="19" t="n"/>
      <x:c r="I56" s="20" t="n"/>
      <x:c r="J56" s="19" t="n"/>
      <x:c r="K56" s="25" t="n"/>
      <x:c r="L56" s="25" t="n"/>
      <x:c r="M56" s="18" t="str">
        <x:f>IF(AND(ISBLANK(K56),ISBLANK(L56)),"",IF(OR(ISBLANK(K56),ISBLANK(L56)),"Sem evidência",IF(COUNT(K56:L56)&lt;&gt;2,"Use valores numéricos",IF(R56="&gt;=",IF(L56&gt;=K56,"Atende","Não atende"),IF(R56="&lt;=",IF(L56&lt;=K56,"Atende","Não atende"),IF(R56="Exato",IF(L56=K56,"Atende","Não atende"),"Defina o critério"))))))</x:f>
      </x:c>
      <x:c r="N56" s="19" t="n"/>
      <x:c r="O56" s="20" t="n"/>
      <x:c r="P56" s="20" t="n"/>
      <x:c r="Q56" s="22" t="str">
        <x:f>IF(P56="","",P56-TODAY())</x:f>
      </x:c>
      <x:c r="R56" s="19"/>
    </x:row>
    <x:row r="57">
      <x:c r="A57" s="19" t="n"/>
      <x:c r="B57" s="19" t="n"/>
      <x:c r="C57" s="19" t="n"/>
      <x:c r="D57" s="19" t="n"/>
      <x:c r="E57" s="19" t="n"/>
      <x:c r="F57" s="19" t="n"/>
      <x:c r="G57" s="19" t="n"/>
      <x:c r="H57" s="19" t="n"/>
      <x:c r="I57" s="20" t="n"/>
      <x:c r="J57" s="19" t="n"/>
      <x:c r="K57" s="25" t="n"/>
      <x:c r="L57" s="25" t="n"/>
      <x:c r="M57" s="18" t="str">
        <x:f>IF(AND(ISBLANK(K57),ISBLANK(L57)),"",IF(OR(ISBLANK(K57),ISBLANK(L57)),"Sem evidência",IF(COUNT(K57:L57)&lt;&gt;2,"Use valores numéricos",IF(R57="&gt;=",IF(L57&gt;=K57,"Atende","Não atende"),IF(R57="&lt;=",IF(L57&lt;=K57,"Atende","Não atende"),IF(R57="Exato",IF(L57=K57,"Atende","Não atende"),"Defina o critério"))))))</x:f>
      </x:c>
      <x:c r="N57" s="19" t="n"/>
      <x:c r="O57" s="20" t="n"/>
      <x:c r="P57" s="20" t="n"/>
      <x:c r="Q57" s="22" t="str">
        <x:f>IF(P57="","",P57-TODAY())</x:f>
      </x:c>
      <x:c r="R57" s="19"/>
    </x:row>
    <x:row r="58">
      <x:c r="A58" s="19" t="n"/>
      <x:c r="B58" s="19" t="n"/>
      <x:c r="C58" s="19" t="n"/>
      <x:c r="D58" s="19" t="n"/>
      <x:c r="E58" s="19" t="n"/>
      <x:c r="F58" s="19" t="n"/>
      <x:c r="G58" s="19" t="n"/>
      <x:c r="H58" s="19" t="n"/>
      <x:c r="I58" s="20" t="n"/>
      <x:c r="J58" s="19" t="n"/>
      <x:c r="K58" s="25" t="n"/>
      <x:c r="L58" s="25" t="n"/>
      <x:c r="M58" s="18" t="str">
        <x:f>IF(AND(ISBLANK(K58),ISBLANK(L58)),"",IF(OR(ISBLANK(K58),ISBLANK(L58)),"Sem evidência",IF(COUNT(K58:L58)&lt;&gt;2,"Use valores numéricos",IF(R58="&gt;=",IF(L58&gt;=K58,"Atende","Não atende"),IF(R58="&lt;=",IF(L58&lt;=K58,"Atende","Não atende"),IF(R58="Exato",IF(L58=K58,"Atende","Não atende"),"Defina o critério"))))))</x:f>
      </x:c>
      <x:c r="N58" s="19" t="n"/>
      <x:c r="O58" s="20" t="n"/>
      <x:c r="P58" s="20" t="n"/>
      <x:c r="Q58" s="22" t="str">
        <x:f>IF(P58="","",P58-TODAY())</x:f>
      </x:c>
      <x:c r="R58" s="19"/>
    </x:row>
    <x:row r="59">
      <x:c r="A59" s="19" t="n"/>
      <x:c r="B59" s="19" t="n"/>
      <x:c r="C59" s="19" t="n"/>
      <x:c r="D59" s="19" t="n"/>
      <x:c r="E59" s="19" t="n"/>
      <x:c r="F59" s="19" t="n"/>
      <x:c r="G59" s="19" t="n"/>
      <x:c r="H59" s="19" t="n"/>
      <x:c r="I59" s="20" t="n"/>
      <x:c r="J59" s="19" t="n"/>
      <x:c r="K59" s="25" t="n"/>
      <x:c r="L59" s="25" t="n"/>
      <x:c r="M59" s="18" t="str">
        <x:f>IF(AND(ISBLANK(K59),ISBLANK(L59)),"",IF(OR(ISBLANK(K59),ISBLANK(L59)),"Sem evidência",IF(COUNT(K59:L59)&lt;&gt;2,"Use valores numéricos",IF(R59="&gt;=",IF(L59&gt;=K59,"Atende","Não atende"),IF(R59="&lt;=",IF(L59&lt;=K59,"Atende","Não atende"),IF(R59="Exato",IF(L59=K59,"Atende","Não atende"),"Defina o critério"))))))</x:f>
      </x:c>
      <x:c r="N59" s="19" t="n"/>
      <x:c r="O59" s="20" t="n"/>
      <x:c r="P59" s="20" t="n"/>
      <x:c r="Q59" s="22" t="str">
        <x:f>IF(P59="","",P59-TODAY())</x:f>
      </x:c>
      <x:c r="R59" s="19"/>
    </x:row>
    <x:row r="60">
      <x:c r="A60" s="19" t="n"/>
      <x:c r="B60" s="19" t="n"/>
      <x:c r="C60" s="19" t="n"/>
      <x:c r="D60" s="19" t="n"/>
      <x:c r="E60" s="19" t="n"/>
      <x:c r="F60" s="19" t="n"/>
      <x:c r="G60" s="19" t="n"/>
      <x:c r="H60" s="19" t="n"/>
      <x:c r="I60" s="20" t="n"/>
      <x:c r="J60" s="19" t="n"/>
      <x:c r="K60" s="25" t="n"/>
      <x:c r="L60" s="25" t="n"/>
      <x:c r="M60" s="18" t="str">
        <x:f>IF(AND(ISBLANK(K60),ISBLANK(L60)),"",IF(OR(ISBLANK(K60),ISBLANK(L60)),"Sem evidência",IF(COUNT(K60:L60)&lt;&gt;2,"Use valores numéricos",IF(R60="&gt;=",IF(L60&gt;=K60,"Atende","Não atende"),IF(R60="&lt;=",IF(L60&lt;=K60,"Atende","Não atende"),IF(R60="Exato",IF(L60=K60,"Atende","Não atende"),"Defina o critério"))))))</x:f>
      </x:c>
      <x:c r="N60" s="19" t="n"/>
      <x:c r="O60" s="20" t="n"/>
      <x:c r="P60" s="20" t="n"/>
      <x:c r="Q60" s="22" t="str">
        <x:f>IF(P60="","",P60-TODAY())</x:f>
      </x:c>
      <x:c r="R60" s="19"/>
    </x:row>
    <x:row r="61">
      <x:c r="A61" s="19" t="n"/>
      <x:c r="B61" s="19" t="n"/>
      <x:c r="C61" s="19" t="n"/>
      <x:c r="D61" s="19" t="n"/>
      <x:c r="E61" s="19" t="n"/>
      <x:c r="F61" s="19" t="n"/>
      <x:c r="G61" s="19" t="n"/>
      <x:c r="H61" s="19" t="n"/>
      <x:c r="I61" s="20" t="n"/>
      <x:c r="J61" s="19" t="n"/>
      <x:c r="K61" s="25" t="n"/>
      <x:c r="L61" s="25" t="n"/>
      <x:c r="M61" s="18" t="str">
        <x:f>IF(AND(ISBLANK(K61),ISBLANK(L61)),"",IF(OR(ISBLANK(K61),ISBLANK(L61)),"Sem evidência",IF(COUNT(K61:L61)&lt;&gt;2,"Use valores numéricos",IF(R61="&gt;=",IF(L61&gt;=K61,"Atende","Não atende"),IF(R61="&lt;=",IF(L61&lt;=K61,"Atende","Não atende"),IF(R61="Exato",IF(L61=K61,"Atende","Não atende"),"Defina o critério"))))))</x:f>
      </x:c>
      <x:c r="N61" s="19" t="n"/>
      <x:c r="O61" s="20" t="n"/>
      <x:c r="P61" s="20" t="n"/>
      <x:c r="Q61" s="22" t="str">
        <x:f>IF(P61="","",P61-TODAY())</x:f>
      </x:c>
      <x:c r="R61" s="19"/>
    </x:row>
    <x:row r="62">
      <x:c r="A62" s="19" t="n"/>
      <x:c r="B62" s="19" t="n"/>
      <x:c r="C62" s="19" t="n"/>
      <x:c r="D62" s="19" t="n"/>
      <x:c r="E62" s="19" t="n"/>
      <x:c r="F62" s="19" t="n"/>
      <x:c r="G62" s="19" t="n"/>
      <x:c r="H62" s="19" t="n"/>
      <x:c r="I62" s="20" t="n"/>
      <x:c r="J62" s="19" t="n"/>
      <x:c r="K62" s="25" t="n"/>
      <x:c r="L62" s="25" t="n"/>
      <x:c r="M62" s="18" t="str">
        <x:f>IF(AND(ISBLANK(K62),ISBLANK(L62)),"",IF(OR(ISBLANK(K62),ISBLANK(L62)),"Sem evidência",IF(COUNT(K62:L62)&lt;&gt;2,"Use valores numéricos",IF(R62="&gt;=",IF(L62&gt;=K62,"Atende","Não atende"),IF(R62="&lt;=",IF(L62&lt;=K62,"Atende","Não atende"),IF(R62="Exato",IF(L62=K62,"Atende","Não atende"),"Defina o critério"))))))</x:f>
      </x:c>
      <x:c r="N62" s="19" t="n"/>
      <x:c r="O62" s="20" t="n"/>
      <x:c r="P62" s="20" t="n"/>
      <x:c r="Q62" s="22" t="str">
        <x:f>IF(P62="","",P62-TODAY())</x:f>
      </x:c>
      <x:c r="R62" s="19"/>
    </x:row>
  </x:sheetData>
  <x:dataValidations count="7">
    <x:dataValidation type="list" allowBlank="1" showDropDown="0" showInputMessage="0" showErrorMessage="0" sqref="B2:B62">
      <x:formula1>=Listas!$B$2:$B$7</x:formula1>
    </x:dataValidation>
    <x:dataValidation type="list" allowBlank="1" showDropDown="0" showInputMessage="0" showErrorMessage="0" sqref="D2:D62">
      <x:formula1>=Listas!$N$2:$N$11</x:formula1>
    </x:dataValidation>
    <x:dataValidation type="list" allowBlank="1" showDropDown="0" showInputMessage="0" showErrorMessage="0" sqref="F2:F62">
      <x:formula1>=Listas!$K$2:$K$4</x:formula1>
    </x:dataValidation>
    <x:dataValidation type="date" operator="greaterThan" allowBlank="1" showDropDown="0" showInputMessage="0" showErrorMessage="0" errorTitle="Data" error="Informe uma data (DD/MM/AAAA)." sqref="I2:I62">
      <x:formula1>36526</x:formula1>
    </x:dataValidation>
    <x:dataValidation type="date" operator="greaterThan" allowBlank="1" showDropDown="0" showInputMessage="0" showErrorMessage="0" errorTitle="Data" error="Informe uma data (DD/MM/AAAA)." sqref="O2:O62">
      <x:formula1>36526</x:formula1>
    </x:dataValidation>
    <x:dataValidation type="date" operator="greaterThan" allowBlank="1" showDropDown="0" showInputMessage="0" showErrorMessage="0" errorTitle="Data" error="Informe uma data (DD/MM/AAAA)." sqref="P2:P62">
      <x:formula1>36526</x:formula1>
    </x:dataValidation>
    <x:dataValidation type="list" sqref="R2:R62">
      <x:formula1>"&gt;=,&lt;=,Exato"</x:formula1>
    </x:dataValidation>
  </x:dataValidations>
  <x:pageMargins left="0.7" right="0.7" top="0.75" bottom="0.75" header="0.3" footer="0.3"/>
  <x:legacyDrawing xmlns:r="http://schemas.openxmlformats.org/officeDocument/2006/relationships" r:id="Rbb1b4ed0522a42d9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6" customWidth="1"/>
    <x:col min="2" max="2" width="52" customWidth="1"/>
    <x:col min="3" max="3" width="26" customWidth="1"/>
    <x:col min="4" max="4" width="20" customWidth="1"/>
  </x:cols>
  <x:sheetData>
    <x:row r="1" ht="34" customHeight="1">
      <x:c r="A1" s="14" t="inlineStr">
        <x:is>
          <x:t xml:space="preserve">Indicador</x:t>
        </x:is>
      </x:c>
      <x:c r="B1" s="14" t="inlineStr">
        <x:is>
          <x:t xml:space="preserve">Como calcular</x:t>
        </x:is>
      </x:c>
      <x:c r="C1" s="14" t="inlineStr">
        <x:is>
          <x:t xml:space="preserve">População / período</x:t>
        </x:is>
      </x:c>
      <x:c r="D1" s="14" t="inlineStr">
        <x:is>
          <x:t xml:space="preserve">Responsável</x:t>
        </x:is>
      </x:c>
    </x:row>
    <x:row r="2">
      <x:c r="A2" s="23" t="inlineStr">
        <x:is>
          <x:t xml:space="preserve">Cobertura de responsáveis</x:t>
        </x:is>
      </x:c>
      <x:c r="B2" s="23" t="inlineStr">
        <x:is>
          <x:t xml:space="preserve">Produtos com dono identificado ÷ produtos no escopo</x:t>
        </x:is>
      </x:c>
      <x:c r="C2" s="19" t="n"/>
      <x:c r="D2" s="19" t="n"/>
    </x:row>
    <x:row r="3">
      <x:c r="A3" s="23" t="inlineStr">
        <x:is>
          <x:t xml:space="preserve">Cobertura de contratos</x:t>
        </x:is>
      </x:c>
      <x:c r="B3" s="23" t="inlineStr">
        <x:is>
          <x:t xml:space="preserve">Produtos compartilhados com contrato vigente ÷ produtos compartilhados no escopo</x:t>
        </x:is>
      </x:c>
      <x:c r="C3" s="19" t="n"/>
      <x:c r="D3" s="19" t="n"/>
    </x:row>
    <x:row r="4">
      <x:c r="A4" s="23" t="inlineStr">
        <x:is>
          <x:t xml:space="preserve">Aderência à qualidade</x:t>
        </x:is>
      </x:c>
      <x:c r="B4" s="23" t="inlineStr">
        <x:is>
          <x:t xml:space="preserve">Testes avaliados com sucesso ÷ testes avaliados (indicar amostra e período)</x:t>
        </x:is>
      </x:c>
      <x:c r="C4" s="19" t="n"/>
      <x:c r="D4" s="19" t="n"/>
    </x:row>
    <x:row r="5">
      <x:c r="A5" s="23" t="inlineStr">
        <x:is>
          <x:t xml:space="preserve">Prazo de acesso</x:t>
        </x:is>
      </x:c>
      <x:c r="B5" s="23" t="inlineStr">
        <x:is>
          <x:t xml:space="preserve">Tempo entre pedido completo e decisão implementada, com exclusões registradas</x:t>
        </x:is>
      </x:c>
      <x:c r="C5" s="19" t="n"/>
      <x:c r="D5" s="19" t="n"/>
    </x:row>
    <x:row r="6">
      <x:c r="A6" s="23" t="inlineStr">
        <x:is>
          <x:t xml:space="preserve">Valor</x:t>
        </x:is>
      </x:c>
      <x:c r="B6" s="23" t="inlineStr">
        <x:is>
          <x:t xml:space="preserve">Resultado específico do caso de uso acordado com o consumidor, além da contagem de ativos</x:t>
        </x:is>
      </x:c>
      <x:c r="C6" s="19" t="n"/>
      <x:c r="D6" s="19" t="n"/>
    </x:row>
    <x:row r="7">
      <x:c r="A7" s="19" t="n"/>
      <x:c r="B7" s="19" t="n"/>
      <x:c r="C7" s="19" t="n"/>
      <x:c r="D7" s="19" t="n"/>
    </x:row>
    <x:row r="8">
      <x:c r="A8" s="19" t="n"/>
      <x:c r="B8" s="19" t="n"/>
      <x:c r="C8" s="19" t="n"/>
      <x:c r="D8" s="19" t="n"/>
    </x:row>
    <x:row r="9">
      <x:c r="A9" s="19" t="n"/>
      <x:c r="B9" s="19" t="n"/>
      <x:c r="C9" s="19" t="n"/>
      <x:c r="D9" s="19" t="n"/>
    </x:row>
    <x:row r="10">
      <x:c r="A10" s="19" t="n"/>
      <x:c r="B10" s="19" t="n"/>
      <x:c r="C10" s="19" t="n"/>
      <x:c r="D10" s="19" t="n"/>
    </x:row>
    <x:row r="11">
      <x:c r="A11" s="19" t="n"/>
      <x:c r="B11" s="19" t="n"/>
      <x:c r="C11" s="19" t="n"/>
      <x:c r="D11" s="19" t="n"/>
    </x:row>
  </x:sheetData>
  <x:pageMargins left="0.7" right="0.7" top="0.75" bottom="0.75" header="0.3" footer="0.3"/>
  <x:legacyDrawing xmlns:r="http://schemas.openxmlformats.org/officeDocument/2006/relationships" r:id="R57250c7db0d64772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20" customWidth="1"/>
    <x:col min="3" max="3" width="16" customWidth="1"/>
    <x:col min="4" max="4" width="16" customWidth="1"/>
    <x:col min="5" max="5" width="16" customWidth="1"/>
    <x:col min="6" max="6" width="16" customWidth="1"/>
    <x:col min="7" max="7" width="19" customWidth="1"/>
    <x:col min="8" max="8" width="16" customWidth="1"/>
    <x:col min="9" max="9" width="23" customWidth="1"/>
    <x:col min="10" max="10" width="24" customWidth="1"/>
    <x:col min="11" max="11" width="16" customWidth="1"/>
    <x:col min="12" max="12" width="21" customWidth="1"/>
    <x:col min="13" max="13" width="16" customWidth="1"/>
    <x:col min="14" max="14" width="26" customWidth="1"/>
    <x:col min="15" max="15" width="16" customWidth="1"/>
  </x:cols>
  <x:sheetData>
    <x:row r="1">
      <x:c r="A1" s="24" t="inlineStr">
        <x:is>
          <x:t xml:space="preserve">Etapa</x:t>
        </x:is>
      </x:c>
      <x:c r="B1" s="24" t="inlineStr">
        <x:is>
          <x:t xml:space="preserve">Escopo</x:t>
        </x:is>
      </x:c>
      <x:c r="C1" s="24" t="inlineStr">
        <x:is>
          <x:t xml:space="preserve">Classificação</x:t>
        </x:is>
      </x:c>
      <x:c r="D1" s="24" t="inlineStr">
        <x:is>
          <x:t xml:space="preserve">Sim/Não</x:t>
        </x:is>
      </x:c>
      <x:c r="E1" s="24" t="inlineStr">
        <x:is>
          <x:t xml:space="preserve">Status do documento</x:t>
        </x:is>
      </x:c>
      <x:c r="F1" s="24" t="inlineStr">
        <x:is>
          <x:t xml:space="preserve">Status da decisão</x:t>
        </x:is>
      </x:c>
      <x:c r="G1" s="24" t="inlineStr">
        <x:is>
          <x:t xml:space="preserve">Parecer</x:t>
        </x:is>
      </x:c>
      <x:c r="H1" s="24" t="inlineStr">
        <x:is>
          <x:t xml:space="preserve">Decisão de acesso</x:t>
        </x:is>
      </x:c>
      <x:c r="I1" s="24" t="inlineStr">
        <x:is>
          <x:t xml:space="preserve">Revisão periódica</x:t>
        </x:is>
      </x:c>
      <x:c r="J1" s="24" t="inlineStr">
        <x:is>
          <x:t xml:space="preserve">Tipo de alteração</x:t>
        </x:is>
      </x:c>
      <x:c r="K1" s="24" t="inlineStr">
        <x:is>
          <x:t xml:space="preserve">Tipo de controle</x:t>
        </x:is>
      </x:c>
      <x:c r="L1" s="24" t="inlineStr">
        <x:is>
          <x:t xml:space="preserve">Situação</x:t>
        </x:is>
      </x:c>
      <x:c r="M1" s="24" t="inlineStr">
        <x:is>
          <x:t xml:space="preserve">Status do termo</x:t>
        </x:is>
      </x:c>
      <x:c r="N1" s="24" t="inlineStr">
        <x:is>
          <x:t xml:space="preserve">Papel</x:t>
        </x:is>
      </x:c>
      <x:c r="O1" s="24" t="inlineStr">
        <x:is>
          <x:t xml:space="preserve">Dimensão de qualidade</x:t>
        </x:is>
      </x:c>
    </x:row>
    <x:row r="2">
      <x:c r="A2" s="8" t="inlineStr">
        <x:is>
          <x:t xml:space="preserve">Início</x:t>
        </x:is>
      </x:c>
      <x:c r="B2" s="8" t="inlineStr">
        <x:is>
          <x:t xml:space="preserve">Ecossistema</x:t>
        </x:is>
      </x:c>
      <x:c r="C2" s="8" t="inlineStr">
        <x:is>
          <x:t xml:space="preserve">Público</x:t>
        </x:is>
      </x:c>
      <x:c r="D2" s="8" t="inlineStr">
        <x:is>
          <x:t xml:space="preserve">Sim</x:t>
        </x:is>
      </x:c>
      <x:c r="E2" s="8" t="inlineStr">
        <x:is>
          <x:t xml:space="preserve">Rascunho</x:t>
        </x:is>
      </x:c>
      <x:c r="F2" s="8" t="inlineStr">
        <x:is>
          <x:t xml:space="preserve">Proposta</x:t>
        </x:is>
      </x:c>
      <x:c r="G2" s="8" t="inlineStr">
        <x:is>
          <x:t xml:space="preserve">Recomenda aprovar</x:t>
        </x:is>
      </x:c>
      <x:c r="H2" s="8" t="inlineStr">
        <x:is>
          <x:t xml:space="preserve">Aprovado</x:t>
        </x:is>
      </x:c>
      <x:c r="I2" s="8" t="inlineStr">
        <x:is>
          <x:t xml:space="preserve">Manter</x:t>
        </x:is>
      </x:c>
      <x:c r="J2" s="8" t="inlineStr">
        <x:is>
          <x:t xml:space="preserve">Incompatível</x:t>
        </x:is>
      </x:c>
      <x:c r="K2" s="8" t="inlineStr">
        <x:is>
          <x:t xml:space="preserve">Manual</x:t>
        </x:is>
      </x:c>
      <x:c r="L2" s="8" t="inlineStr">
        <x:is>
          <x:t xml:space="preserve">Atende</x:t>
        </x:is>
      </x:c>
      <x:c r="M2" s="8" t="inlineStr">
        <x:is>
          <x:t xml:space="preserve">Proposto</x:t>
        </x:is>
      </x:c>
      <x:c r="N2" s="8" t="inlineStr">
        <x:is>
          <x:t xml:space="preserve">Fórum de governança</x:t>
        </x:is>
      </x:c>
      <x:c r="O2" s="8" t="inlineStr">
        <x:is>
          <x:t xml:space="preserve">Completude</x:t>
        </x:is>
      </x:c>
    </x:row>
    <x:row r="3">
      <x:c r="A3" s="8" t="inlineStr">
        <x:is>
          <x:t xml:space="preserve">Cultivar</x:t>
        </x:is>
      </x:c>
      <x:c r="B3" s="8" t="inlineStr">
        <x:is>
          <x:t xml:space="preserve">Domínio (Hive)</x:t>
        </x:is>
      </x:c>
      <x:c r="C3" s="8" t="inlineStr">
        <x:is>
          <x:t xml:space="preserve">Interno</x:t>
        </x:is>
      </x:c>
      <x:c r="D3" s="8" t="inlineStr">
        <x:is>
          <x:t xml:space="preserve">Não</x:t>
        </x:is>
      </x:c>
      <x:c r="E3" s="8" t="inlineStr">
        <x:is>
          <x:t xml:space="preserve">Em revisão</x:t>
        </x:is>
      </x:c>
      <x:c r="F3" s="8" t="inlineStr">
        <x:is>
          <x:t xml:space="preserve">Aprovada</x:t>
        </x:is>
      </x:c>
      <x:c r="G3" s="8" t="inlineStr">
        <x:is>
          <x:t xml:space="preserve">Recomenda recusar</x:t>
        </x:is>
      </x:c>
      <x:c r="H3" s="8" t="inlineStr">
        <x:is>
          <x:t xml:space="preserve">Recusado</x:t>
        </x:is>
      </x:c>
      <x:c r="I3" s="8" t="inlineStr">
        <x:is>
          <x:t xml:space="preserve">Renovar (novo pedido)</x:t>
        </x:is>
      </x:c>
      <x:c r="J3" s="8" t="inlineStr">
        <x:is>
          <x:t xml:space="preserve">Acréscimo compatível</x:t>
        </x:is>
      </x:c>
      <x:c r="K3" s="8" t="inlineStr">
        <x:is>
          <x:t xml:space="preserve">Automático</x:t>
        </x:is>
      </x:c>
      <x:c r="L3" s="8" t="inlineStr">
        <x:is>
          <x:t xml:space="preserve">Atende parcialmente</x:t>
        </x:is>
      </x:c>
      <x:c r="M3" s="8" t="inlineStr">
        <x:is>
          <x:t xml:space="preserve">Acordado</x:t>
        </x:is>
      </x:c>
      <x:c r="N3" s="8" t="inlineStr">
        <x:is>
          <x:t xml:space="preserve">Gestor do ecossistema</x:t>
        </x:is>
      </x:c>
      <x:c r="O3" s="8" t="inlineStr">
        <x:is>
          <x:t xml:space="preserve">Validade</x:t>
        </x:is>
      </x:c>
    </x:row>
    <x:row r="4">
      <x:c r="A4" s="8" t="inlineStr">
        <x:is>
          <x:t xml:space="preserve">Governar</x:t>
        </x:is>
      </x:c>
      <x:c r="B4" s="8" t="inlineStr">
        <x:is>
          <x:t xml:space="preserve">Subdomínio (Cell)</x:t>
        </x:is>
      </x:c>
      <x:c r="C4" s="8" t="inlineStr">
        <x:is>
          <x:t xml:space="preserve">Confidencial</x:t>
        </x:is>
      </x:c>
      <x:c r="E4" s="8" t="inlineStr">
        <x:is>
          <x:t xml:space="preserve">Aprovado</x:t>
        </x:is>
      </x:c>
      <x:c r="F4" s="8" t="inlineStr">
        <x:is>
          <x:t xml:space="preserve">Recusada</x:t>
        </x:is>
      </x:c>
      <x:c r="G4" s="8" t="inlineStr">
        <x:is>
          <x:t xml:space="preserve">Recomenda escalar</x:t>
        </x:is>
      </x:c>
      <x:c r="H4" s="8" t="inlineStr">
        <x:is>
          <x:t xml:space="preserve">Escalado</x:t>
        </x:is>
      </x:c>
      <x:c r="I4" s="8" t="inlineStr">
        <x:is>
          <x:t xml:space="preserve">Revogar</x:t>
        </x:is>
      </x:c>
      <x:c r="J4" s="8" t="inlineStr">
        <x:is>
          <x:t xml:space="preserve">Correção documental</x:t>
        </x:is>
      </x:c>
      <x:c r="K4" s="8" t="inlineStr">
        <x:is>
          <x:t xml:space="preserve">Misto</x:t>
        </x:is>
      </x:c>
      <x:c r="L4" s="8" t="inlineStr">
        <x:is>
          <x:t xml:space="preserve">Não atende</x:t>
        </x:is>
      </x:c>
      <x:c r="M4" s="8" t="inlineStr">
        <x:is>
          <x:t xml:space="preserve">Obsoleto</x:t>
        </x:is>
      </x:c>
      <x:c r="N4" s="8" t="inlineStr">
        <x:is>
          <x:t xml:space="preserve">Dono do domínio</x:t>
        </x:is>
      </x:c>
      <x:c r="O4" s="8" t="inlineStr">
        <x:is>
          <x:t xml:space="preserve">Unicidade</x:t>
        </x:is>
      </x:c>
    </x:row>
    <x:row r="5">
      <x:c r="A5" s="8" t="inlineStr">
        <x:is>
          <x:t xml:space="preserve">Compartilhar</x:t>
        </x:is>
      </x:c>
      <x:c r="B5" s="8" t="inlineStr">
        <x:is>
          <x:t xml:space="preserve">Agrupamento (Comb)</x:t>
        </x:is>
      </x:c>
      <x:c r="C5" s="8" t="inlineStr">
        <x:is>
          <x:t xml:space="preserve">Restrito</x:t>
        </x:is>
      </x:c>
      <x:c r="E5" s="8" t="inlineStr">
        <x:is>
          <x:t xml:space="preserve">Substituído</x:t>
        </x:is>
      </x:c>
      <x:c r="F5" s="8" t="inlineStr">
        <x:is>
          <x:t xml:space="preserve">Escalada</x:t>
        </x:is>
      </x:c>
      <x:c r="H5" s="8" t="inlineStr">
        <x:is>
          <x:t xml:space="preserve">Pendente</x:t>
        </x:is>
      </x:c>
      <x:c r="J5" s="8" t="inlineStr">
        <x:is>
          <x:t xml:space="preserve">Depreciação / retirada</x:t>
        </x:is>
      </x:c>
      <x:c r="L5" s="8" t="inlineStr">
        <x:is>
          <x:t xml:space="preserve">Sem evidência</x:t>
        </x:is>
      </x:c>
      <x:c r="N5" s="8" t="inlineStr">
        <x:is>
          <x:t xml:space="preserve">Dono do subdomínio</x:t>
        </x:is>
      </x:c>
      <x:c r="O5" s="8" t="inlineStr">
        <x:is>
          <x:t xml:space="preserve">Consistência</x:t>
        </x:is>
      </x:c>
    </x:row>
    <x:row r="6">
      <x:c r="A6" s="8" t="inlineStr">
        <x:is>
          <x:t xml:space="preserve">Ativar</x:t>
        </x:is>
      </x:c>
      <x:c r="B6" s="8" t="inlineStr">
        <x:is>
          <x:t xml:space="preserve">Produto de dados</x:t>
        </x:is>
      </x:c>
      <x:c r="F6" s="8" t="inlineStr">
        <x:is>
          <x:t xml:space="preserve">Revista</x:t>
        </x:is>
      </x:c>
      <x:c r="N6" s="8" t="inlineStr">
        <x:is>
          <x:t xml:space="preserve">Dono do produto de dados</x:t>
        </x:is>
      </x:c>
      <x:c r="O6" s="8" t="inlineStr">
        <x:is>
          <x:t xml:space="preserve">Atualidade</x:t>
        </x:is>
      </x:c>
    </x:row>
    <x:row r="7">
      <x:c r="B7" s="8" t="inlineStr">
        <x:is>
          <x:t xml:space="preserve">Ambiente (Farm)</x:t>
        </x:is>
      </x:c>
      <x:c r="F7" s="8" t="inlineStr">
        <x:is>
          <x:t xml:space="preserve">Expirada</x:t>
        </x:is>
      </x:c>
      <x:c r="N7" s="8" t="inlineStr">
        <x:is>
          <x:t xml:space="preserve">Steward operacional</x:t>
        </x:is>
      </x:c>
      <x:c r="O7" s="8" t="inlineStr">
        <x:is>
          <x:t xml:space="preserve">Exatidão</x:t>
        </x:is>
      </x:c>
    </x:row>
    <x:row r="8">
      <x:c r="N8" s="8" t="inlineStr">
        <x:is>
          <x:t xml:space="preserve">Steward coordenador</x:t>
        </x:is>
      </x:c>
    </x:row>
    <x:row r="9">
      <x:c r="N9" s="8" t="inlineStr">
        <x:is>
          <x:t xml:space="preserve">Engenharia de dados</x:t>
        </x:is>
      </x:c>
    </x:row>
    <x:row r="10">
      <x:c r="N10" s="8" t="inlineStr">
        <x:is>
          <x:t xml:space="preserve">Custodiante técnico</x:t>
        </x:is>
      </x:c>
    </x:row>
    <x:row r="11">
      <x:c r="N11" s="8" t="inlineStr">
        <x:is>
          <x:t xml:space="preserve">Consumidor</x:t>
        </x:is>
      </x:c>
    </x:row>
  </x:sheetData>
  <x:pageMargins left="0.7" right="0.7" top="0.75" bottom="0.75" header="0.3" footer="0.3"/>
</x:worksheet>
</file>